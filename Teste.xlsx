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JL_FORMULARIO" sheetId="2" r:id="rId6"/>
    <sheet state="visible" name="USUARIOS" sheetId="3" r:id="rId7"/>
    <sheet state="visible" name="GESTAO_SOLICITACOES" sheetId="4" r:id="rId8"/>
    <sheet state="visible" name="AUDITORIA" sheetId="5" r:id="rId9"/>
    <sheet state="visible" name="Solicitações das unidades" sheetId="6" r:id="rId10"/>
    <sheet state="visible" name="Juízes Leigos Disponíveis" sheetId="7" r:id="rId11"/>
  </sheets>
  <definedNames/>
  <calcPr/>
</workbook>
</file>

<file path=xl/sharedStrings.xml><?xml version="1.0" encoding="utf-8"?>
<sst xmlns="http://schemas.openxmlformats.org/spreadsheetml/2006/main" count="449" uniqueCount="189">
  <si>
    <t>CHAVE</t>
  </si>
  <si>
    <t>VALOR</t>
  </si>
  <si>
    <t>EMAIL</t>
  </si>
  <si>
    <t>NOME</t>
  </si>
  <si>
    <t>PERFIL</t>
  </si>
  <si>
    <t>ATIVO</t>
  </si>
  <si>
    <t>LINHA_ORIGEM</t>
  </si>
  <si>
    <t>ULTIMO_ACESSO</t>
  </si>
  <si>
    <t>FORM_URL</t>
  </si>
  <si>
    <t>https://docs.google.com/forms/d/e/1FAIpQLSenUp7ShEu8a13psWqG7on_Ru5gSox4hgADY1HL_Pxymevw4A/viewform</t>
  </si>
  <si>
    <t>PRIORIDADE</t>
  </si>
  <si>
    <t>PRAZO</t>
  </si>
  <si>
    <t>ATUALIZADO_EM</t>
  </si>
  <si>
    <t>ATUALIZADO_POR</t>
  </si>
  <si>
    <t>QUANTIDADE_MINUTAS</t>
  </si>
  <si>
    <t>ccvitoria@tjes.jus.br</t>
  </si>
  <si>
    <t>ccvitoria</t>
  </si>
  <si>
    <t>ADMIN</t>
  </si>
  <si>
    <t>Alta</t>
  </si>
  <si>
    <t>saelesbon@tjes.jus.br</t>
  </si>
  <si>
    <t>saelesbon</t>
  </si>
  <si>
    <t>sajesus@tjes.jus.br</t>
  </si>
  <si>
    <t>SPREADSHEET_ID</t>
  </si>
  <si>
    <t>sajesus</t>
  </si>
  <si>
    <t>1mkPVag7GJPdSbQoJMvjv2J5SvwmRgtxy73xr_WHKbek</t>
  </si>
  <si>
    <t>SOURCE_SHEET</t>
  </si>
  <si>
    <t>Respostas ao formulário 1</t>
  </si>
  <si>
    <t>jcbolzan@tjes.jus.br</t>
  </si>
  <si>
    <t>jcbolzan</t>
  </si>
  <si>
    <t>Normal</t>
  </si>
  <si>
    <t>Carimbo de data/hora</t>
  </si>
  <si>
    <t>Endereço de e-mail</t>
  </si>
  <si>
    <t>Nome do solicitante:</t>
  </si>
  <si>
    <t>Telefone para contato:</t>
  </si>
  <si>
    <t>Cargo ou Função:</t>
  </si>
  <si>
    <t>Unidade Judiciária que receberá o auxílio da Juíza Leiga ou do Juiz Leigo:</t>
  </si>
  <si>
    <t>Número(s) do(s) Processo(s) - um por linha (opcional - preencher apenas se desejar a análise de processos específicos):</t>
  </si>
  <si>
    <t>Orientações sobre a elaboração das minutas (opcional - caso deseje compartilhar modelos de documentos ou prompts, anexar o link do documento ou pasta do Google Drive):</t>
  </si>
  <si>
    <t>Deseja indicar alguma Juíza ou Juiz Leigo de sua preferência? (A indicação não é vinculante e dependerá da disponibilidade e prioridade de atendimento)</t>
  </si>
  <si>
    <t>Número de minutas em que necessita trabalhar no mês atual:</t>
  </si>
  <si>
    <t>Preferência por matérias (opcional):</t>
  </si>
  <si>
    <t>Observações sobre a atuação e meta de produtividade:</t>
  </si>
  <si>
    <t>Status do Atendimento:</t>
  </si>
  <si>
    <t>Observações sobre a demanda e atendimento:</t>
  </si>
  <si>
    <t>Competências necessárias (opcional):</t>
  </si>
  <si>
    <t>Juiz Leigo Designado</t>
  </si>
  <si>
    <t>Data da Designação</t>
  </si>
  <si>
    <t>FORM_RESPONSE_ID</t>
  </si>
  <si>
    <t>Salomão Akhnaton Zoroastro Spencer Elesbon</t>
  </si>
  <si>
    <t>27 99982 9268</t>
  </si>
  <si>
    <t>Magistrada ou Magistrado</t>
  </si>
  <si>
    <t>Colatina - 3º Juizado Especial Cível</t>
  </si>
  <si>
    <t>https://drive.google.com/drive/folders/1ZtTehjUxTT6d2dz_jmfayJ-VXkn31Rk-?usp=drive_link</t>
  </si>
  <si>
    <t>Natália Lorenzutti</t>
  </si>
  <si>
    <t>Concluído</t>
  </si>
  <si>
    <t>Finalizado.</t>
  </si>
  <si>
    <t>Juizado Especial Cível</t>
  </si>
  <si>
    <t>Natália Lorenzutti Pereira Pinto Bastos</t>
  </si>
  <si>
    <t>natalialorenzuttip@gmail.com</t>
  </si>
  <si>
    <t xml:space="preserve">Natália Lorenzutti Pereira Pinto Bastos </t>
  </si>
  <si>
    <t>Juíza Leiga ou Juiz Leigo</t>
  </si>
  <si>
    <t xml:space="preserve">Nos últimos meses, chegaram menos processos conclusos, mas esse mês as conclusões aumentaram e consegui ter processos suficientes para bater a meta. </t>
  </si>
  <si>
    <t>scrui@tjes.jus.br</t>
  </si>
  <si>
    <t>SHINAYDER CRISTIAN BORGES RUI</t>
  </si>
  <si>
    <t>Assessora ou Assessor</t>
  </si>
  <si>
    <t>Vila Velha - Comarca da Capital - 1º Juizado Especial Cível</t>
  </si>
  <si>
    <t>Lucas Salles da Silveira Rosa</t>
  </si>
  <si>
    <t>lssr071096@gmail.com</t>
  </si>
  <si>
    <t xml:space="preserve">Meta do mês de março já batida. O sistema não aceitou a resposta "0" </t>
  </si>
  <si>
    <t>sawyatt@tjes.jus.br</t>
  </si>
  <si>
    <t>Samuelly Aragão Pelissari Wyatt</t>
  </si>
  <si>
    <t>27-999321204</t>
  </si>
  <si>
    <t>X</t>
  </si>
  <si>
    <t>x</t>
  </si>
  <si>
    <t>Cintia Vieira Rocha</t>
  </si>
  <si>
    <t>akcoutinho@tjes.jus.br</t>
  </si>
  <si>
    <t>Ana Karolina Coutinho</t>
  </si>
  <si>
    <t>Juizado Especial da Fazenda Pública</t>
  </si>
  <si>
    <t>crvtrocha@gmail.com</t>
  </si>
  <si>
    <t xml:space="preserve">Cintia Vieira Rocha </t>
  </si>
  <si>
    <t>rodrigokfm@gmail.com</t>
  </si>
  <si>
    <t>Rodrigo Klein Fornazelli Monteiro</t>
  </si>
  <si>
    <t>(27) 999016567</t>
  </si>
  <si>
    <t>Juizado Especial Cível, Juizado Especial da Fazenda Pública</t>
  </si>
  <si>
    <t>Colaborando atualmente no 3º JEC de Colatina e na 4ª turma recursal - gabinete 1</t>
  </si>
  <si>
    <t>eakapitzky@tjes.jus.br</t>
  </si>
  <si>
    <t>Evelyn Avelino Kapitzky</t>
  </si>
  <si>
    <t>carlosbermudes.adv@gmail.com</t>
  </si>
  <si>
    <t xml:space="preserve">Carlos Bermudes Galvão </t>
  </si>
  <si>
    <t>Juizado Especial Criminal, Juizado Especial da Fazenda Pública</t>
  </si>
  <si>
    <t>rscunha@tjes.jus.br</t>
  </si>
  <si>
    <t>Ramon Silva Almeida Cunha</t>
  </si>
  <si>
    <t>2799816-1476</t>
  </si>
  <si>
    <t>Cariacica - Comarca da Capital - 1º Juizado Especial Criminal e Fazenda Pública</t>
  </si>
  <si>
    <t>5027139-30.2025.8.08.0012</t>
  </si>
  <si>
    <t xml:space="preserve">GUTEMBERG PIRES NOVAIS </t>
  </si>
  <si>
    <t>Cancelado</t>
  </si>
  <si>
    <t>Sem indicação do número de minutas.</t>
  </si>
  <si>
    <t>RAMON SILVA ALMEIDA CUNHA</t>
  </si>
  <si>
    <t>5026746-08.2025.8.08.0012</t>
  </si>
  <si>
    <t>André Luis Q. Berezowski</t>
  </si>
  <si>
    <t>5001118-80.2026.8.08.0012</t>
  </si>
  <si>
    <t>279981614-76</t>
  </si>
  <si>
    <t>5027200-85.2025.8.08.0012</t>
  </si>
  <si>
    <t>Samyra Alexia Correia Santana Lemos</t>
  </si>
  <si>
    <t xml:space="preserve">CARLOS BERMUDES </t>
  </si>
  <si>
    <t>gpnovais@tjes.jus.br</t>
  </si>
  <si>
    <t>Gutemberg Pires Novais</t>
  </si>
  <si>
    <t>27 - 996380996</t>
  </si>
  <si>
    <t xml:space="preserve">    1. 5021724-66.2025.8.08.0012 (DETRAN)
    2. 5029629-25.2025.8.08.0012 (DETRAN)
    3. 5027236-30.2025.8.08.0012 (FGTS)
    4. 5032131-34.2025.8.08.0012 (FGTS)</t>
  </si>
  <si>
    <t>Salomão Elesbon</t>
  </si>
  <si>
    <t>Em atendimento</t>
  </si>
  <si>
    <t>Caio</t>
  </si>
  <si>
    <t>nlbastos@tjes.jus.br</t>
  </si>
  <si>
    <t>27 3721 9408</t>
  </si>
  <si>
    <t>Teste do formulário e app conecta jules.</t>
  </si>
  <si>
    <t>Pendente</t>
  </si>
  <si>
    <t>saelesbon@gmail.com</t>
  </si>
  <si>
    <t>abbbb</t>
  </si>
  <si>
    <t>Eu mesmo - Teste</t>
  </si>
  <si>
    <t>Juizado Especial Cível, Juizado Especial Criminal, Juizado Especial da Fazenda Pública</t>
  </si>
  <si>
    <t>2_ABaOnucahdDT1uhLUGJT6wWoH-vzLrhfhTaiQ2M5S4AvwgQMJYWaho-_qtIP1xhWgohERbE</t>
  </si>
  <si>
    <t>2a Turma Recursal - GAB 2</t>
  </si>
  <si>
    <t>2_ABaOnufDVD83dvP2BPBzFk4iAOpwD59wYAaL0YNcNefqN8_bC7Q7y1Ku0GJaLIZQ71OlBC0</t>
  </si>
  <si>
    <t>João Gabriel Cortes Bussular</t>
  </si>
  <si>
    <t>Colatina - 1º Juizado Especial Cível</t>
  </si>
  <si>
    <t>0003399-50.2011.8.08.0035
0004556-63.2008.8.08.0035
0005330-88.2011.8.08.0035
0006992-58.2009.8.08.0035
0008172-17.2006.8.08.0035
0010138-39.2011.8.08.0035
0013000-51.2009.8.08.0035
0014260-95.2011.8.08.0035
0016933-32.2009.8.08.0035
0020846-22.2009.8.08.0035
0021185-10.2011.8.08.0035
0024033-38.2009.8.08.0035
0024594-33.2007.8.08.0035
0026589-42.2011.8.08.0035
0077026-24.2010.8.08.0035
0082504-13.2010.8.08.0035
0094184-92.2010.8.08.0035
0096295-49.2010.8.08.0035
0508061-78.2003.8.08.0035</t>
  </si>
  <si>
    <t>2_ABaOnueG3Hy8G-NdQzY76uJjc5cPDpJhW1z3cungPk36gByF_pvLTX93__BNWP190A2iDdI</t>
  </si>
  <si>
    <t>farosa@tjes.jus.br</t>
  </si>
  <si>
    <t>Fernando Rosa</t>
  </si>
  <si>
    <t>Redação sintética</t>
  </si>
  <si>
    <t>Gutemberg Pires</t>
  </si>
  <si>
    <t>2_ABaOnueaNTVEjig6PyTvWAeKT8AM_bjQR-ji7q00Q-hgh2MHru0PpEo8puGw_6gp2KuapnU</t>
  </si>
  <si>
    <t>2_ABaOnucG0IZ_WIL1oJLwdzJiuELaQp99Cxv-WhdxAR_TULx5dredeCYIFaHJQQjjmepH6mY</t>
  </si>
  <si>
    <t>jgbussular@tjes.jus.br</t>
  </si>
  <si>
    <t>João Gabriel Côrtes Bussular</t>
  </si>
  <si>
    <t>27-99841-2187</t>
  </si>
  <si>
    <t>Natália Lorenzuti</t>
  </si>
  <si>
    <t>2_ABaOnufdk4ZmIun7t90Nu6ccpmVi8Bl48ucVu7HSuq8Bn4n39XBnnpToQjdnUEAb3_r8bK0</t>
  </si>
  <si>
    <t>Natália</t>
  </si>
  <si>
    <t>2_ABaOnuf6Rpk6B3MdlOzbZx034hAPyXXYq2AYKYN-PMbgU7G7xnjmabJwV1V2EvCxBprjHOA</t>
  </si>
  <si>
    <t>cbgalvao@tjes.jus.br</t>
  </si>
  <si>
    <t>Carlos Bermudes Galvão</t>
  </si>
  <si>
    <t>2_ABaOnufuQ8zykNQ6sZRS-vRnNHu-cFoYjFVU4PC9i22xB1yHYg7PEMK4syTK3K3Rmfv1L2Y</t>
  </si>
  <si>
    <t>2_ABaOnufDMvTT1PaXHK4DaIdIUrv4IFr-HzWGHLEC1vFbUZbn0687xYloeb4n_j4SQGxyyXc</t>
  </si>
  <si>
    <t>Ana Karolina Espindula Pereira Coutinho</t>
  </si>
  <si>
    <t>27-992557885</t>
  </si>
  <si>
    <t>2_ABaOnuc3TA0XqGzc3R52jSsyZrgq8N6JiwnLhMq7DCSTIKTmj-sReiH-kFn5Ig6CkKR5V30</t>
  </si>
  <si>
    <t>2_ABaOnufmoOkFYGbT4-QqKBPoNVTmdwSxV_OtXja9X9szuSTyW2GzxNiX2b2vXXawZ-LuhaI</t>
  </si>
  <si>
    <t>DATA_HORA</t>
  </si>
  <si>
    <t>ACAO</t>
  </si>
  <si>
    <t>ANTES</t>
  </si>
  <si>
    <t>DEPOIS</t>
  </si>
  <si>
    <t>DESIGNAR_JUIZ</t>
  </si>
  <si>
    <t>{"juiz":"","status":""}</t>
  </si>
  <si>
    <t>{"juiz":"Ana Karolina Coutinho","status":"Em atendimento"}</t>
  </si>
  <si>
    <t>ATUALIZAR_SOLICITACAO</t>
  </si>
  <si>
    <t>{"status":"Em atendimento","observacoes":""}</t>
  </si>
  <si>
    <t>{"status":"Pendente","observacoes":"abc"}</t>
  </si>
  <si>
    <t>{"juiz":"Ana Karolina Coutinho","status":"Pendente"}</t>
  </si>
  <si>
    <t>{"juiz":"Eu mesmo - Teste","status":"Em atendimento"}</t>
  </si>
  <si>
    <t>{"juiz":"Ana Karolina Coutinho","status":"Concluído","prioridade":"Normal","prazo":""}</t>
  </si>
  <si>
    <t>{"juiz":"Ana Karolina Coutinho","status":"Em atendimento","justificativaExcesso":"","prioridade":"Normal","prazo":""}</t>
  </si>
  <si>
    <t>{"status":"Em atendimento","observacoes":"abc154548848","prioridade":"Normal","prazo":""}</t>
  </si>
  <si>
    <t>{"status":"Em atendimento","observacoes":"abc154548848","prioridade":"Alta","prazo":"1111-11-11"}</t>
  </si>
  <si>
    <t>{"status":"Em atendimento","observacoes":"abc154548848","prioridade":"Alta","prazo":"1111-11-04"}</t>
  </si>
  <si>
    <t>{"status":"Em atendimento","observacoes":"abc154548848","prioridade":"Alta","prazo":"3333-11-04"}</t>
  </si>
  <si>
    <t>{"juiz":"Ana Karolina Coutinho","status":"Em atendimento","prioridade":"Alta","prazo":"3333-11-04"}</t>
  </si>
  <si>
    <t>{"juiz":"Ana Karolina Coutinho","status":"Em atendimento","justificativaExcesso":"","prioridade":"Alta","prazo":"3333-11-04"}</t>
  </si>
  <si>
    <t>{"status":"Em atendimento","observacoes":"","prioridade":"Normal","prazo":""}</t>
  </si>
  <si>
    <t>{"status":"Cancelado","observacoes":"abbbb","prioridade":"Alta","prazo":"9999-09-09"}</t>
  </si>
  <si>
    <t>{"juiz":"","status":"","prioridade":"Normal","prazo":""}</t>
  </si>
  <si>
    <t>{"juiz":"Caio","status":"Em atendimento","justificativaExcesso":"","prioridade":"Normal","prazo":"2029-11-11"}</t>
  </si>
  <si>
    <t>{"status":"Pendente","observacoes":"","prioridade":"Normal","prazo":""}</t>
  </si>
  <si>
    <t>{"juiz":"Ana Karolina Coutinho","status":"Em atendimento","justificativaExcesso":"","prioridade":"Normal","prazo":"2028-11-11"}</t>
  </si>
  <si>
    <t>{"status":"Em atendimento","observacoes":"","prioridade":"Normal","prazo":"2028-11-11"}</t>
  </si>
  <si>
    <t>{"status":"Pendente","observacoes":"","prioridade":"Normal","prazo":"2028-11-11"}</t>
  </si>
  <si>
    <t>REDESIGNAR_JUIZ</t>
  </si>
  <si>
    <t>{"juiz":"Ana Karolina Coutinho","status":"Pendente","prioridade":"Normal","prazo":"2028-11-11"}</t>
  </si>
  <si>
    <t>{"juiz":"Caio","status":"Em atendimento","justificativaExcesso":"","prioridade":"Normal","prazo":"2028-11-11"}</t>
  </si>
  <si>
    <t>{"status":"Em atendimento","observacoes":"abc154548848","justificativaExcesso":"","prioridade":"Alta","prazo":"2027-11-04"}</t>
  </si>
  <si>
    <t>{"status":"Em atendimento","observacoes":"abc154548848","prioridade":"Alta","prazo":"2027-11-04"}</t>
  </si>
  <si>
    <t>{"status":"Em atendimento","observacoes":"abc154548848","prioridade":"Alta","prazo":"2027-11-04","quantidade":""}</t>
  </si>
  <si>
    <t>{"status":"Pendente","observacoes":"","justificativaExcesso":"","prioridade":"Alta","prazo":"2027-11-04","quantidade":""}</t>
  </si>
  <si>
    <t>{"status":"Concluído","observacoes":"","prioridade":"Normal","prazo":""}</t>
  </si>
  <si>
    <t>{"status":"Concluído","observacoes":"Finalizado.","justificativaExcesso":"","prioridade":"Normal","prazo":""}</t>
  </si>
  <si>
    <t>{"status":"Cancelado","observacoes":"Sem indicação do número de minutas.","justificativaExcesso":"","prioridade":"Normal","prazo":""}</t>
  </si>
  <si>
    <t>E-mail adicional (preservado)</t>
  </si>
  <si>
    <t>COLUNA_AUXILIAR_LEGADA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</si>
</sst>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dd/MM/yyyy 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theme="1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horizontal="left" shrinkToFit="0" vertical="center" wrapText="0"/>
    </xf>
    <xf borderId="0" fillId="0" fontId="3" numFmtId="165" xfId="0" applyAlignment="1" applyFont="1" applyNumberFormat="1">
      <alignment horizontal="left" readingOrder="0" shrinkToFit="0" vertical="center" wrapText="0"/>
    </xf>
    <xf borderId="0" fillId="0" fontId="1" numFmtId="1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166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ízes Leigos Disponíveis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996" displayName="Respostas_ao_formulário_1" name="Respostas_ao_formulário_1" id="1">
  <tableColumns count="18">
    <tableColumn name="Carimbo de data/hora" id="1"/>
    <tableColumn name="Endereço de e-mail" id="2"/>
    <tableColumn name="Nome do solicitante:" id="3"/>
    <tableColumn name="Telefone para contato:" id="4"/>
    <tableColumn name="Cargo ou Função:" id="5"/>
    <tableColumn name="Unidade Judiciária que receberá o auxílio da Juíza Leiga ou do Juiz Leigo:" id="6"/>
    <tableColumn name="Número(s) do(s) Processo(s) - um por linha (opcional - preencher apenas se desejar a análise de processos específicos):" id="7"/>
    <tableColumn name="Orientações sobre a elaboração das minutas (opcional - caso deseje compartilhar modelos de documentos ou prompts, anexar o link do documento ou pasta do Google Drive):" id="8"/>
    <tableColumn name="Deseja indicar alguma Juíza ou Juiz Leigo de sua preferência? (A indicação não é vinculante e dependerá da disponibilidade e prioridade de atendimento)" id="9"/>
    <tableColumn name="Número de minutas em que necessita trabalhar no mês atual:" id="10"/>
    <tableColumn name="Preferência por matérias (opcional):" id="11"/>
    <tableColumn name="Observações sobre a atuação e meta de produtividade:" id="12"/>
    <tableColumn name="Status do Atendimento:" id="13"/>
    <tableColumn name="Observações sobre a demanda e atendimento:" id="14"/>
    <tableColumn name="Competências necessárias (opcional):" id="15"/>
    <tableColumn name="Juiz Leigo Designado" id="16"/>
    <tableColumn name="Data da Designação" id="17"/>
    <tableColumn name="FORM_RESPONSE_ID" id="18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S7" displayName="Juízes_Leigos_Disponíveis" name="Juízes_Leigos_Disponíveis" id="2">
  <tableColumns count="19">
    <tableColumn name="Carimbo de data/hora" id="1"/>
    <tableColumn name="Endereço de e-mail" id="2"/>
    <tableColumn name="Nome do solicitante:" id="3"/>
    <tableColumn name="Telefone para contato:" id="4"/>
    <tableColumn name="Cargo ou Função:" id="5"/>
    <tableColumn name="Unidade Judiciária que receberá o auxílio da Juíza Leiga ou do Juiz Leigo:" id="6"/>
    <tableColumn name="Número(s) do(s) Processo(s) - um por linha (opcional - preencher apenas se desejar a análise de processos específicos):" id="7"/>
    <tableColumn name="Orientações sobre a elaboração das minutas (opcional - caso deseje compartilhar modelos de documentos ou prompts, anexar o link do documento ou pasta do Google Drive):" id="8"/>
    <tableColumn name="Deseja indicar alguma Juíza ou Juiz Leigo de sua preferência? (A indicação não é vinculante e dependerá da disponibilidade e prioridade de atendimento)" id="9"/>
    <tableColumn name="Número de minutas em que necessita trabalhar no mês atual:" id="10"/>
    <tableColumn name="Preferência por matérias (opcional):" id="11"/>
    <tableColumn name="Observações sobre a atuação e meta de produtividade:" id="12"/>
    <tableColumn name="Status do Atendimento:" id="13"/>
    <tableColumn name="Observações sobre a demanda e atendimento:" id="14"/>
    <tableColumn name="Competências necessárias (opcional):" id="15"/>
    <tableColumn name="Juiz Leigo Designado" id="16"/>
    <tableColumn name="Data da Designação" id="17"/>
    <tableColumn name="FORM_RESPONSE_ID" id="18"/>
    <tableColumn name="COLUNA_AUXILIAR_LEGADA" id="19"/>
  </tableColumns>
  <tableStyleInfo name="Juízes Leigos Disponíve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tTehjUxTT6d2dz_jmfayJ-VXkn31Rk-?usp=drive_link" TargetMode="External"/><Relationship Id="rId2" Type="http://schemas.openxmlformats.org/officeDocument/2006/relationships/hyperlink" Target="https://drive.google.com/drive/folders/1ZtTehjUxTT6d2dz_jmfayJ-VXkn31Rk-?usp=drive_link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enUp7ShEu8a13psWqG7on_Ru5gSox4hgADY1HL_Pxymevw4A/viewfor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25.25"/>
    <col customWidth="1" min="3" max="3" width="20.38"/>
    <col customWidth="1" min="4" max="4" width="21.63"/>
    <col customWidth="1" min="5" max="5" width="18.88"/>
    <col customWidth="1" min="6" max="6" width="37.63"/>
    <col customWidth="1" min="7" max="7" width="24.88"/>
    <col customWidth="1" min="8" max="8" width="19.75"/>
    <col customWidth="1" min="9" max="9" width="15.75"/>
    <col customWidth="1" min="10" max="10" width="37.63"/>
    <col customWidth="1" min="11" max="11" width="31.38"/>
    <col customWidth="1" min="12" max="12" width="18.88"/>
    <col customWidth="1" min="13" max="13" width="21.5"/>
    <col customWidth="1" min="14" max="18" width="18.88"/>
    <col customWidth="1" min="19" max="19" width="21.25"/>
    <col customWidth="1" min="20" max="27" width="18.88"/>
  </cols>
  <sheetData>
    <row r="1" ht="15.75" customHeight="1">
      <c r="A1" s="10" t="s">
        <v>30</v>
      </c>
      <c r="B1" s="11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2" t="s">
        <v>36</v>
      </c>
      <c r="H1" s="13" t="s">
        <v>37</v>
      </c>
      <c r="I1" s="13" t="s">
        <v>38</v>
      </c>
      <c r="J1" s="13" t="s">
        <v>39</v>
      </c>
      <c r="K1" s="14" t="s">
        <v>40</v>
      </c>
      <c r="L1" s="14" t="s">
        <v>41</v>
      </c>
      <c r="M1" s="13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5" t="s">
        <v>47</v>
      </c>
      <c r="S1" s="16"/>
      <c r="T1" s="16"/>
      <c r="U1" s="16"/>
      <c r="V1" s="16"/>
      <c r="W1" s="16"/>
      <c r="X1" s="16"/>
      <c r="Y1" s="16"/>
      <c r="Z1" s="16"/>
    </row>
    <row r="2" ht="15.75" customHeight="1">
      <c r="A2" s="17">
        <v>46106.37494547454</v>
      </c>
      <c r="B2" s="18" t="s">
        <v>19</v>
      </c>
      <c r="C2" s="18" t="s">
        <v>48</v>
      </c>
      <c r="D2" s="18" t="s">
        <v>49</v>
      </c>
      <c r="E2" s="18" t="s">
        <v>50</v>
      </c>
      <c r="F2" s="18" t="s">
        <v>51</v>
      </c>
      <c r="G2" s="19"/>
      <c r="H2" s="20" t="s">
        <v>52</v>
      </c>
      <c r="I2" s="18" t="s">
        <v>53</v>
      </c>
      <c r="J2" s="19"/>
      <c r="K2" s="19"/>
      <c r="L2" s="19"/>
      <c r="M2" s="21" t="s">
        <v>54</v>
      </c>
      <c r="N2" s="22" t="s">
        <v>55</v>
      </c>
      <c r="O2" s="18" t="s">
        <v>56</v>
      </c>
      <c r="P2" s="18" t="s">
        <v>57</v>
      </c>
      <c r="Q2" s="23">
        <v>46113.0</v>
      </c>
      <c r="R2" s="19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>
        <v>46106.49054748843</v>
      </c>
      <c r="B3" s="18" t="s">
        <v>58</v>
      </c>
      <c r="C3" s="18" t="s">
        <v>59</v>
      </c>
      <c r="D3" s="18">
        <v>2.7988986575E10</v>
      </c>
      <c r="E3" s="18" t="s">
        <v>60</v>
      </c>
      <c r="F3" s="19"/>
      <c r="G3" s="19"/>
      <c r="H3" s="19"/>
      <c r="I3" s="19"/>
      <c r="J3" s="18">
        <v>25.0</v>
      </c>
      <c r="K3" s="18" t="s">
        <v>56</v>
      </c>
      <c r="L3" s="18" t="s">
        <v>61</v>
      </c>
      <c r="M3" s="18" t="s">
        <v>54</v>
      </c>
      <c r="N3" s="19"/>
      <c r="O3" s="19"/>
      <c r="P3" s="19"/>
      <c r="Q3" s="23">
        <v>46113.0</v>
      </c>
      <c r="R3" s="19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>
        <v>46106.49984908565</v>
      </c>
      <c r="B4" s="18" t="s">
        <v>62</v>
      </c>
      <c r="C4" s="18" t="s">
        <v>63</v>
      </c>
      <c r="D4" s="18">
        <v>2.7981425882E10</v>
      </c>
      <c r="E4" s="18" t="s">
        <v>64</v>
      </c>
      <c r="F4" s="18" t="s">
        <v>65</v>
      </c>
      <c r="G4" s="19"/>
      <c r="H4" s="19"/>
      <c r="I4" s="19"/>
      <c r="J4" s="19"/>
      <c r="K4" s="19"/>
      <c r="L4" s="19"/>
      <c r="M4" s="18" t="s">
        <v>54</v>
      </c>
      <c r="N4" s="19"/>
      <c r="O4" s="18" t="s">
        <v>56</v>
      </c>
      <c r="P4" s="18" t="s">
        <v>66</v>
      </c>
      <c r="Q4" s="23">
        <v>46121.0</v>
      </c>
      <c r="R4" s="19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>
        <v>46106.501470069445</v>
      </c>
      <c r="B5" s="18" t="s">
        <v>67</v>
      </c>
      <c r="C5" s="18" t="s">
        <v>66</v>
      </c>
      <c r="D5" s="18">
        <v>2.7999079309E10</v>
      </c>
      <c r="E5" s="18" t="s">
        <v>60</v>
      </c>
      <c r="F5" s="19"/>
      <c r="G5" s="19"/>
      <c r="H5" s="19"/>
      <c r="I5" s="19"/>
      <c r="J5" s="18">
        <v>1.0</v>
      </c>
      <c r="K5" s="18" t="s">
        <v>56</v>
      </c>
      <c r="L5" s="18" t="s">
        <v>68</v>
      </c>
      <c r="M5" s="18" t="s">
        <v>54</v>
      </c>
      <c r="N5" s="19"/>
      <c r="O5" s="19"/>
      <c r="P5" s="19"/>
      <c r="Q5" s="23">
        <v>46121.0</v>
      </c>
      <c r="R5" s="19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>
        <v>46106.50151554398</v>
      </c>
      <c r="B6" s="18" t="s">
        <v>69</v>
      </c>
      <c r="C6" s="18" t="s">
        <v>70</v>
      </c>
      <c r="D6" s="18" t="s">
        <v>71</v>
      </c>
      <c r="E6" s="18" t="s">
        <v>64</v>
      </c>
      <c r="F6" s="18" t="s">
        <v>65</v>
      </c>
      <c r="G6" s="18" t="s">
        <v>72</v>
      </c>
      <c r="H6" s="18" t="s">
        <v>72</v>
      </c>
      <c r="I6" s="18" t="s">
        <v>73</v>
      </c>
      <c r="J6" s="19"/>
      <c r="K6" s="19"/>
      <c r="L6" s="19"/>
      <c r="M6" s="18" t="s">
        <v>54</v>
      </c>
      <c r="N6" s="19"/>
      <c r="O6" s="18" t="s">
        <v>56</v>
      </c>
      <c r="P6" s="18" t="s">
        <v>74</v>
      </c>
      <c r="Q6" s="23">
        <v>46265.0</v>
      </c>
      <c r="R6" s="19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>
        <v>46106.510648090276</v>
      </c>
      <c r="B7" s="18" t="s">
        <v>75</v>
      </c>
      <c r="C7" s="18" t="s">
        <v>76</v>
      </c>
      <c r="D7" s="18">
        <v>2.7992557885E10</v>
      </c>
      <c r="E7" s="18" t="s">
        <v>60</v>
      </c>
      <c r="F7" s="19"/>
      <c r="G7" s="19"/>
      <c r="H7" s="19"/>
      <c r="I7" s="19"/>
      <c r="J7" s="18">
        <v>15.0</v>
      </c>
      <c r="K7" s="18" t="s">
        <v>77</v>
      </c>
      <c r="L7" s="19"/>
      <c r="M7" s="19"/>
      <c r="N7" s="19"/>
      <c r="O7" s="19"/>
      <c r="P7" s="19"/>
      <c r="Q7" s="19"/>
      <c r="R7" s="19"/>
      <c r="S7" s="16"/>
      <c r="T7" s="16"/>
      <c r="U7" s="16"/>
      <c r="V7" s="16"/>
      <c r="W7" s="16"/>
      <c r="X7" s="16"/>
      <c r="Y7" s="16"/>
      <c r="Z7" s="16"/>
    </row>
    <row r="8" ht="15.75" customHeight="1">
      <c r="A8" s="17">
        <v>46106.511369618056</v>
      </c>
      <c r="B8" s="18" t="s">
        <v>78</v>
      </c>
      <c r="C8" s="18" t="s">
        <v>79</v>
      </c>
      <c r="D8" s="18">
        <v>2.7995016462E10</v>
      </c>
      <c r="E8" s="18" t="s">
        <v>60</v>
      </c>
      <c r="F8" s="19"/>
      <c r="G8" s="19"/>
      <c r="H8" s="19"/>
      <c r="I8" s="19"/>
      <c r="J8" s="18">
        <v>83.0</v>
      </c>
      <c r="K8" s="18" t="s">
        <v>56</v>
      </c>
      <c r="L8" s="19"/>
      <c r="M8" s="18" t="s">
        <v>54</v>
      </c>
      <c r="N8" s="19"/>
      <c r="O8" s="19"/>
      <c r="P8" s="19"/>
      <c r="Q8" s="23">
        <v>46265.0</v>
      </c>
      <c r="R8" s="19"/>
      <c r="S8" s="16"/>
      <c r="T8" s="16"/>
      <c r="U8" s="16"/>
      <c r="V8" s="16"/>
      <c r="W8" s="16"/>
      <c r="X8" s="16"/>
      <c r="Y8" s="16"/>
      <c r="Z8" s="16"/>
    </row>
    <row r="9" ht="15.75" customHeight="1">
      <c r="A9" s="17">
        <v>46106.516994108795</v>
      </c>
      <c r="B9" s="18" t="s">
        <v>80</v>
      </c>
      <c r="C9" s="18" t="s">
        <v>81</v>
      </c>
      <c r="D9" s="18" t="s">
        <v>82</v>
      </c>
      <c r="E9" s="18" t="s">
        <v>60</v>
      </c>
      <c r="F9" s="19"/>
      <c r="G9" s="19"/>
      <c r="H9" s="19"/>
      <c r="I9" s="19"/>
      <c r="J9" s="18">
        <v>20.0</v>
      </c>
      <c r="K9" s="18" t="s">
        <v>83</v>
      </c>
      <c r="L9" s="18" t="s">
        <v>84</v>
      </c>
      <c r="M9" s="19"/>
      <c r="N9" s="19"/>
      <c r="O9" s="19"/>
      <c r="P9" s="19"/>
      <c r="Q9" s="19"/>
      <c r="R9" s="19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>
        <v>46106.54884957176</v>
      </c>
      <c r="B10" s="18" t="s">
        <v>85</v>
      </c>
      <c r="C10" s="18" t="s">
        <v>86</v>
      </c>
      <c r="D10" s="18">
        <v>2.7997874971E10</v>
      </c>
      <c r="E10" s="18" t="s">
        <v>60</v>
      </c>
      <c r="F10" s="19"/>
      <c r="G10" s="19"/>
      <c r="H10" s="19"/>
      <c r="I10" s="19"/>
      <c r="J10" s="18">
        <v>9.0</v>
      </c>
      <c r="K10" s="18" t="s">
        <v>83</v>
      </c>
      <c r="L10" s="19"/>
      <c r="M10" s="19"/>
      <c r="N10" s="19"/>
      <c r="O10" s="19"/>
      <c r="P10" s="19"/>
      <c r="Q10" s="23">
        <v>46112.0</v>
      </c>
      <c r="R10" s="19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7">
        <v>46106.555048055554</v>
      </c>
      <c r="B11" s="18" t="s">
        <v>87</v>
      </c>
      <c r="C11" s="18" t="s">
        <v>88</v>
      </c>
      <c r="D11" s="18">
        <v>2.7997773097E10</v>
      </c>
      <c r="E11" s="18" t="s">
        <v>60</v>
      </c>
      <c r="F11" s="19"/>
      <c r="G11" s="19"/>
      <c r="H11" s="19"/>
      <c r="I11" s="19"/>
      <c r="J11" s="18">
        <v>70.0</v>
      </c>
      <c r="K11" s="18" t="s">
        <v>89</v>
      </c>
      <c r="L11" s="19"/>
      <c r="M11" s="19"/>
      <c r="N11" s="19"/>
      <c r="O11" s="19"/>
      <c r="P11" s="19"/>
      <c r="Q11" s="23">
        <v>46113.0</v>
      </c>
      <c r="R11" s="19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7">
        <v>46106.55592453704</v>
      </c>
      <c r="B12" s="18" t="s">
        <v>90</v>
      </c>
      <c r="C12" s="18" t="s">
        <v>91</v>
      </c>
      <c r="D12" s="18" t="s">
        <v>92</v>
      </c>
      <c r="E12" s="18" t="s">
        <v>64</v>
      </c>
      <c r="F12" s="18" t="s">
        <v>93</v>
      </c>
      <c r="G12" s="18" t="s">
        <v>94</v>
      </c>
      <c r="H12" s="19"/>
      <c r="I12" s="18" t="s">
        <v>95</v>
      </c>
      <c r="J12" s="19"/>
      <c r="K12" s="19"/>
      <c r="L12" s="19"/>
      <c r="M12" s="22" t="s">
        <v>96</v>
      </c>
      <c r="N12" s="22" t="s">
        <v>97</v>
      </c>
      <c r="O12" s="18" t="s">
        <v>77</v>
      </c>
      <c r="P12" s="19"/>
      <c r="Q12" s="19"/>
      <c r="R12" s="19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7">
        <v>46106.557365625005</v>
      </c>
      <c r="B13" s="18" t="s">
        <v>90</v>
      </c>
      <c r="C13" s="18" t="s">
        <v>98</v>
      </c>
      <c r="D13" s="18" t="s">
        <v>92</v>
      </c>
      <c r="E13" s="18" t="s">
        <v>64</v>
      </c>
      <c r="F13" s="18" t="s">
        <v>93</v>
      </c>
      <c r="G13" s="18" t="s">
        <v>99</v>
      </c>
      <c r="H13" s="19"/>
      <c r="I13" s="18" t="s">
        <v>100</v>
      </c>
      <c r="J13" s="19"/>
      <c r="K13" s="19"/>
      <c r="L13" s="19"/>
      <c r="M13" s="19"/>
      <c r="N13" s="19"/>
      <c r="O13" s="18" t="s">
        <v>77</v>
      </c>
      <c r="P13" s="19"/>
      <c r="Q13" s="19"/>
      <c r="R13" s="19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7">
        <v>46106.55805467593</v>
      </c>
      <c r="B14" s="18" t="s">
        <v>90</v>
      </c>
      <c r="C14" s="18" t="s">
        <v>98</v>
      </c>
      <c r="D14" s="18" t="s">
        <v>92</v>
      </c>
      <c r="E14" s="18" t="s">
        <v>64</v>
      </c>
      <c r="F14" s="18" t="s">
        <v>93</v>
      </c>
      <c r="G14" s="18" t="s">
        <v>101</v>
      </c>
      <c r="H14" s="19"/>
      <c r="I14" s="18" t="s">
        <v>86</v>
      </c>
      <c r="J14" s="19"/>
      <c r="K14" s="19"/>
      <c r="L14" s="19"/>
      <c r="M14" s="19"/>
      <c r="N14" s="19"/>
      <c r="O14" s="18" t="s">
        <v>77</v>
      </c>
      <c r="P14" s="19"/>
      <c r="Q14" s="23">
        <v>46113.0</v>
      </c>
      <c r="R14" s="19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7">
        <v>46106.55907577546</v>
      </c>
      <c r="B15" s="18" t="s">
        <v>90</v>
      </c>
      <c r="C15" s="18" t="s">
        <v>98</v>
      </c>
      <c r="D15" s="18" t="s">
        <v>102</v>
      </c>
      <c r="E15" s="18" t="s">
        <v>64</v>
      </c>
      <c r="F15" s="18" t="s">
        <v>93</v>
      </c>
      <c r="G15" s="18" t="s">
        <v>103</v>
      </c>
      <c r="H15" s="19"/>
      <c r="I15" s="18" t="s">
        <v>104</v>
      </c>
      <c r="J15" s="19"/>
      <c r="K15" s="19"/>
      <c r="L15" s="19"/>
      <c r="M15" s="19"/>
      <c r="N15" s="19"/>
      <c r="O15" s="18" t="s">
        <v>77</v>
      </c>
      <c r="P15" s="19"/>
      <c r="Q15" s="23">
        <v>46113.0</v>
      </c>
      <c r="R15" s="19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7">
        <v>46106.55969229167</v>
      </c>
      <c r="B16" s="18" t="s">
        <v>90</v>
      </c>
      <c r="C16" s="18" t="s">
        <v>98</v>
      </c>
      <c r="D16" s="18" t="s">
        <v>92</v>
      </c>
      <c r="E16" s="18" t="s">
        <v>64</v>
      </c>
      <c r="F16" s="18" t="s">
        <v>93</v>
      </c>
      <c r="G16" s="19"/>
      <c r="H16" s="19"/>
      <c r="I16" s="18" t="s">
        <v>105</v>
      </c>
      <c r="J16" s="19"/>
      <c r="K16" s="19"/>
      <c r="L16" s="19"/>
      <c r="M16" s="19"/>
      <c r="N16" s="19"/>
      <c r="O16" s="18" t="s">
        <v>77</v>
      </c>
      <c r="P16" s="19"/>
      <c r="Q16" s="23">
        <v>46113.0</v>
      </c>
      <c r="R16" s="19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>
        <v>46106.569885081015</v>
      </c>
      <c r="B17" s="18" t="s">
        <v>106</v>
      </c>
      <c r="C17" s="18" t="s">
        <v>107</v>
      </c>
      <c r="D17" s="18" t="s">
        <v>108</v>
      </c>
      <c r="E17" s="18" t="s">
        <v>60</v>
      </c>
      <c r="F17" s="19"/>
      <c r="G17" s="19"/>
      <c r="H17" s="19"/>
      <c r="I17" s="19"/>
      <c r="J17" s="18">
        <v>20.0</v>
      </c>
      <c r="K17" s="18" t="s">
        <v>77</v>
      </c>
      <c r="L17" s="19"/>
      <c r="M17" s="19"/>
      <c r="N17" s="19"/>
      <c r="O17" s="19"/>
      <c r="P17" s="19"/>
      <c r="Q17" s="23">
        <v>46113.0</v>
      </c>
      <c r="R17" s="19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7">
        <v>46106.58187234953</v>
      </c>
      <c r="B18" s="18" t="s">
        <v>90</v>
      </c>
      <c r="C18" s="18" t="s">
        <v>98</v>
      </c>
      <c r="D18" s="18" t="s">
        <v>92</v>
      </c>
      <c r="E18" s="18" t="s">
        <v>64</v>
      </c>
      <c r="F18" s="18" t="s">
        <v>93</v>
      </c>
      <c r="G18" s="18" t="s">
        <v>109</v>
      </c>
      <c r="H18" s="19"/>
      <c r="I18" s="19"/>
      <c r="J18" s="19"/>
      <c r="K18" s="19"/>
      <c r="L18" s="19"/>
      <c r="M18" s="19"/>
      <c r="N18" s="19"/>
      <c r="O18" s="18" t="s">
        <v>77</v>
      </c>
      <c r="P18" s="19"/>
      <c r="Q18" s="23">
        <v>46113.0</v>
      </c>
      <c r="R18" s="19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7">
        <v>46112.359035312504</v>
      </c>
      <c r="B19" s="18" t="s">
        <v>58</v>
      </c>
      <c r="C19" s="18" t="s">
        <v>59</v>
      </c>
      <c r="D19" s="18">
        <v>2.7988986575E10</v>
      </c>
      <c r="E19" s="18" t="s">
        <v>60</v>
      </c>
      <c r="F19" s="19"/>
      <c r="G19" s="19"/>
      <c r="H19" s="19"/>
      <c r="I19" s="19"/>
      <c r="J19" s="18">
        <v>1.0</v>
      </c>
      <c r="K19" s="18" t="s">
        <v>56</v>
      </c>
      <c r="L19" s="19"/>
      <c r="M19" s="18" t="s">
        <v>54</v>
      </c>
      <c r="N19" s="19"/>
      <c r="O19" s="19"/>
      <c r="P19" s="19"/>
      <c r="Q19" s="23">
        <v>46113.0</v>
      </c>
      <c r="R19" s="19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7">
        <v>46112.36723905093</v>
      </c>
      <c r="B20" s="18" t="s">
        <v>19</v>
      </c>
      <c r="C20" s="18" t="s">
        <v>110</v>
      </c>
      <c r="D20" s="18">
        <v>2.7999829268E10</v>
      </c>
      <c r="E20" s="18" t="s">
        <v>50</v>
      </c>
      <c r="F20" s="18" t="s">
        <v>51</v>
      </c>
      <c r="G20" s="19"/>
      <c r="H20" s="20" t="s">
        <v>52</v>
      </c>
      <c r="I20" s="18" t="s">
        <v>53</v>
      </c>
      <c r="J20" s="19"/>
      <c r="K20" s="19"/>
      <c r="L20" s="19"/>
      <c r="M20" s="22" t="s">
        <v>111</v>
      </c>
      <c r="N20" s="19"/>
      <c r="O20" s="18" t="s">
        <v>56</v>
      </c>
      <c r="P20" s="22" t="s">
        <v>112</v>
      </c>
      <c r="Q20" s="24">
        <v>46275.79297922454</v>
      </c>
      <c r="R20" s="19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7">
        <v>46112.38294686342</v>
      </c>
      <c r="B21" s="18" t="s">
        <v>113</v>
      </c>
      <c r="C21" s="18" t="s">
        <v>59</v>
      </c>
      <c r="D21" s="18">
        <v>2.7988986575E10</v>
      </c>
      <c r="E21" s="18" t="s">
        <v>60</v>
      </c>
      <c r="F21" s="19"/>
      <c r="G21" s="19"/>
      <c r="H21" s="19"/>
      <c r="I21" s="19"/>
      <c r="J21" s="18">
        <v>1.0</v>
      </c>
      <c r="K21" s="18" t="s">
        <v>56</v>
      </c>
      <c r="L21" s="19"/>
      <c r="M21" s="18" t="s">
        <v>54</v>
      </c>
      <c r="N21" s="19"/>
      <c r="O21" s="19"/>
      <c r="P21" s="19"/>
      <c r="Q21" s="23">
        <v>46113.0</v>
      </c>
      <c r="R21" s="19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>
        <v>46112.38671327547</v>
      </c>
      <c r="B22" s="18" t="s">
        <v>19</v>
      </c>
      <c r="C22" s="18" t="s">
        <v>110</v>
      </c>
      <c r="D22" s="18" t="s">
        <v>114</v>
      </c>
      <c r="E22" s="18" t="s">
        <v>50</v>
      </c>
      <c r="F22" s="18" t="s">
        <v>51</v>
      </c>
      <c r="G22" s="19"/>
      <c r="H22" s="18" t="s">
        <v>115</v>
      </c>
      <c r="I22" s="19"/>
      <c r="J22" s="19"/>
      <c r="K22" s="19"/>
      <c r="L22" s="19"/>
      <c r="M22" s="22" t="s">
        <v>116</v>
      </c>
      <c r="N22" s="19"/>
      <c r="O22" s="18" t="s">
        <v>56</v>
      </c>
      <c r="P22" s="22" t="s">
        <v>112</v>
      </c>
      <c r="Q22" s="24">
        <v>46275.75074877315</v>
      </c>
      <c r="R22" s="19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>
        <v>46112.39104835648</v>
      </c>
      <c r="B23" s="18" t="s">
        <v>117</v>
      </c>
      <c r="C23" s="18" t="s">
        <v>110</v>
      </c>
      <c r="D23" s="18" t="s">
        <v>49</v>
      </c>
      <c r="E23" s="18" t="s">
        <v>50</v>
      </c>
      <c r="F23" s="18" t="s">
        <v>51</v>
      </c>
      <c r="G23" s="19"/>
      <c r="H23" s="19"/>
      <c r="I23" s="19"/>
      <c r="J23" s="19"/>
      <c r="K23" s="19"/>
      <c r="L23" s="19"/>
      <c r="M23" s="22" t="s">
        <v>96</v>
      </c>
      <c r="N23" s="22" t="s">
        <v>118</v>
      </c>
      <c r="O23" s="18" t="s">
        <v>56</v>
      </c>
      <c r="P23" s="22" t="s">
        <v>86</v>
      </c>
      <c r="Q23" s="24">
        <v>46272.8806619213</v>
      </c>
      <c r="R23" s="19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>
        <v>46112.840661712966</v>
      </c>
      <c r="B24" s="18" t="s">
        <v>19</v>
      </c>
      <c r="C24" s="18" t="s">
        <v>110</v>
      </c>
      <c r="D24" s="18">
        <v>2.7999829268E10</v>
      </c>
      <c r="E24" s="18" t="s">
        <v>50</v>
      </c>
      <c r="F24" s="18" t="s">
        <v>51</v>
      </c>
      <c r="G24" s="19"/>
      <c r="H24" s="19"/>
      <c r="I24" s="19"/>
      <c r="J24" s="19"/>
      <c r="K24" s="19"/>
      <c r="L24" s="19"/>
      <c r="M24" s="22" t="s">
        <v>116</v>
      </c>
      <c r="N24" s="22"/>
      <c r="O24" s="18" t="s">
        <v>56</v>
      </c>
      <c r="P24" s="22" t="s">
        <v>76</v>
      </c>
      <c r="Q24" s="24">
        <v>46274.66899893519</v>
      </c>
      <c r="R24" s="19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>
        <v>46112.841063078704</v>
      </c>
      <c r="B25" s="18" t="s">
        <v>117</v>
      </c>
      <c r="C25" s="18" t="s">
        <v>119</v>
      </c>
      <c r="D25" s="18">
        <v>2.7999829275E10</v>
      </c>
      <c r="E25" s="18" t="s">
        <v>60</v>
      </c>
      <c r="F25" s="19"/>
      <c r="G25" s="19"/>
      <c r="H25" s="19"/>
      <c r="I25" s="19"/>
      <c r="J25" s="18">
        <v>40.0</v>
      </c>
      <c r="K25" s="18" t="s">
        <v>120</v>
      </c>
      <c r="L25" s="19"/>
      <c r="M25" s="19"/>
      <c r="N25" s="19"/>
      <c r="O25" s="19"/>
      <c r="P25" s="19"/>
      <c r="Q25" s="23">
        <v>46112.0</v>
      </c>
      <c r="R25" s="19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5">
        <v>46279.49909582176</v>
      </c>
      <c r="B26" s="22" t="s">
        <v>19</v>
      </c>
      <c r="C26" s="22" t="s">
        <v>110</v>
      </c>
      <c r="D26" s="22">
        <v>2.7999829268E10</v>
      </c>
      <c r="E26" s="22" t="s">
        <v>60</v>
      </c>
      <c r="F26" s="19"/>
      <c r="G26" s="19"/>
      <c r="H26" s="19"/>
      <c r="I26" s="19"/>
      <c r="J26" s="22">
        <v>40.0</v>
      </c>
      <c r="K26" s="22" t="s">
        <v>83</v>
      </c>
      <c r="L26" s="19"/>
      <c r="M26" s="22" t="s">
        <v>116</v>
      </c>
      <c r="N26" s="19"/>
      <c r="O26" s="19"/>
      <c r="P26" s="19"/>
      <c r="Q26" s="19"/>
      <c r="R26" s="22" t="s">
        <v>121</v>
      </c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5">
        <v>46279.50030260417</v>
      </c>
      <c r="B27" s="22" t="s">
        <v>19</v>
      </c>
      <c r="C27" s="22" t="s">
        <v>110</v>
      </c>
      <c r="D27" s="22">
        <v>3.7215022E7</v>
      </c>
      <c r="E27" s="22" t="s">
        <v>50</v>
      </c>
      <c r="F27" s="22" t="s">
        <v>122</v>
      </c>
      <c r="G27" s="19"/>
      <c r="H27" s="19"/>
      <c r="I27" s="19"/>
      <c r="J27" s="19"/>
      <c r="K27" s="19"/>
      <c r="L27" s="19"/>
      <c r="M27" s="22" t="s">
        <v>116</v>
      </c>
      <c r="N27" s="19"/>
      <c r="O27" s="22" t="s">
        <v>83</v>
      </c>
      <c r="P27" s="19"/>
      <c r="Q27" s="19"/>
      <c r="R27" s="22" t="s">
        <v>123</v>
      </c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5">
        <v>46279.50203853009</v>
      </c>
      <c r="B28" s="22" t="s">
        <v>19</v>
      </c>
      <c r="C28" s="22" t="s">
        <v>124</v>
      </c>
      <c r="D28" s="22">
        <v>2.737215022E9</v>
      </c>
      <c r="E28" s="22" t="s">
        <v>64</v>
      </c>
      <c r="F28" s="22" t="s">
        <v>125</v>
      </c>
      <c r="G28" s="22" t="s">
        <v>126</v>
      </c>
      <c r="H28" s="19"/>
      <c r="I28" s="19"/>
      <c r="J28" s="19"/>
      <c r="K28" s="19"/>
      <c r="L28" s="19"/>
      <c r="M28" s="22" t="s">
        <v>116</v>
      </c>
      <c r="N28" s="19"/>
      <c r="O28" s="22" t="s">
        <v>56</v>
      </c>
      <c r="P28" s="19"/>
      <c r="Q28" s="19"/>
      <c r="R28" s="22" t="s">
        <v>127</v>
      </c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5">
        <v>46279.51367605324</v>
      </c>
      <c r="B29" s="22" t="s">
        <v>128</v>
      </c>
      <c r="C29" s="22" t="s">
        <v>129</v>
      </c>
      <c r="D29" s="22">
        <v>2.7999897062E10</v>
      </c>
      <c r="E29" s="22" t="s">
        <v>50</v>
      </c>
      <c r="F29" s="22" t="s">
        <v>93</v>
      </c>
      <c r="G29" s="19"/>
      <c r="H29" s="22" t="s">
        <v>130</v>
      </c>
      <c r="I29" s="22" t="s">
        <v>131</v>
      </c>
      <c r="J29" s="19"/>
      <c r="K29" s="19"/>
      <c r="L29" s="19"/>
      <c r="M29" s="22" t="s">
        <v>116</v>
      </c>
      <c r="N29" s="19"/>
      <c r="O29" s="22" t="s">
        <v>77</v>
      </c>
      <c r="P29" s="19"/>
      <c r="Q29" s="19"/>
      <c r="R29" s="22" t="s">
        <v>132</v>
      </c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5">
        <v>46279.51936662037</v>
      </c>
      <c r="B30" s="22" t="s">
        <v>113</v>
      </c>
      <c r="C30" s="22" t="s">
        <v>57</v>
      </c>
      <c r="D30" s="22">
        <v>2.7988986575E10</v>
      </c>
      <c r="E30" s="22" t="s">
        <v>60</v>
      </c>
      <c r="F30" s="19"/>
      <c r="G30" s="19"/>
      <c r="H30" s="19"/>
      <c r="I30" s="19"/>
      <c r="J30" s="22">
        <v>26.0</v>
      </c>
      <c r="K30" s="22" t="s">
        <v>56</v>
      </c>
      <c r="L30" s="19"/>
      <c r="M30" s="22" t="s">
        <v>116</v>
      </c>
      <c r="N30" s="19"/>
      <c r="O30" s="19"/>
      <c r="P30" s="19"/>
      <c r="Q30" s="19"/>
      <c r="R30" s="22" t="s">
        <v>133</v>
      </c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5">
        <v>46279.52961563657</v>
      </c>
      <c r="B31" s="22" t="s">
        <v>134</v>
      </c>
      <c r="C31" s="22" t="s">
        <v>135</v>
      </c>
      <c r="D31" s="22" t="s">
        <v>136</v>
      </c>
      <c r="E31" s="22" t="s">
        <v>64</v>
      </c>
      <c r="F31" s="22" t="s">
        <v>51</v>
      </c>
      <c r="G31" s="19"/>
      <c r="H31" s="19"/>
      <c r="I31" s="22" t="s">
        <v>137</v>
      </c>
      <c r="J31" s="19"/>
      <c r="K31" s="19"/>
      <c r="L31" s="19"/>
      <c r="M31" s="22" t="s">
        <v>116</v>
      </c>
      <c r="N31" s="19"/>
      <c r="O31" s="22" t="s">
        <v>56</v>
      </c>
      <c r="P31" s="19"/>
      <c r="Q31" s="19"/>
      <c r="R31" s="22" t="s">
        <v>138</v>
      </c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5">
        <v>46279.53654792824</v>
      </c>
      <c r="B32" s="22" t="s">
        <v>19</v>
      </c>
      <c r="C32" s="22" t="s">
        <v>110</v>
      </c>
      <c r="D32" s="22">
        <v>2.737215022E9</v>
      </c>
      <c r="E32" s="22" t="s">
        <v>50</v>
      </c>
      <c r="F32" s="22" t="s">
        <v>51</v>
      </c>
      <c r="G32" s="19"/>
      <c r="H32" s="19"/>
      <c r="I32" s="22" t="s">
        <v>139</v>
      </c>
      <c r="J32" s="19"/>
      <c r="K32" s="19"/>
      <c r="L32" s="19"/>
      <c r="M32" s="22" t="s">
        <v>116</v>
      </c>
      <c r="N32" s="19"/>
      <c r="O32" s="22" t="s">
        <v>56</v>
      </c>
      <c r="P32" s="19"/>
      <c r="Q32" s="19"/>
      <c r="R32" s="22" t="s">
        <v>140</v>
      </c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5">
        <v>46279.54914994213</v>
      </c>
      <c r="B33" s="22" t="s">
        <v>141</v>
      </c>
      <c r="C33" s="22" t="s">
        <v>142</v>
      </c>
      <c r="D33" s="22">
        <v>2.7997773097E10</v>
      </c>
      <c r="E33" s="22" t="s">
        <v>60</v>
      </c>
      <c r="F33" s="19"/>
      <c r="G33" s="19"/>
      <c r="H33" s="19"/>
      <c r="I33" s="19"/>
      <c r="J33" s="22">
        <v>60.0</v>
      </c>
      <c r="K33" s="22" t="s">
        <v>77</v>
      </c>
      <c r="L33" s="19"/>
      <c r="M33" s="22" t="s">
        <v>116</v>
      </c>
      <c r="N33" s="19"/>
      <c r="O33" s="19"/>
      <c r="P33" s="19"/>
      <c r="Q33" s="19"/>
      <c r="R33" s="22" t="s">
        <v>143</v>
      </c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5">
        <v>46279.55490533565</v>
      </c>
      <c r="B34" s="22" t="s">
        <v>106</v>
      </c>
      <c r="C34" s="22" t="s">
        <v>107</v>
      </c>
      <c r="D34" s="22">
        <v>2.7996380996E10</v>
      </c>
      <c r="E34" s="22" t="s">
        <v>60</v>
      </c>
      <c r="F34" s="19"/>
      <c r="G34" s="19"/>
      <c r="H34" s="19"/>
      <c r="I34" s="19"/>
      <c r="J34" s="22">
        <v>20.0</v>
      </c>
      <c r="K34" s="22" t="s">
        <v>77</v>
      </c>
      <c r="L34" s="19"/>
      <c r="M34" s="22" t="s">
        <v>116</v>
      </c>
      <c r="N34" s="19"/>
      <c r="O34" s="19"/>
      <c r="P34" s="19"/>
      <c r="Q34" s="19"/>
      <c r="R34" s="22" t="s">
        <v>144</v>
      </c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5">
        <v>46279.5605454051</v>
      </c>
      <c r="B35" s="22" t="s">
        <v>75</v>
      </c>
      <c r="C35" s="22" t="s">
        <v>145</v>
      </c>
      <c r="D35" s="22" t="s">
        <v>146</v>
      </c>
      <c r="E35" s="22" t="s">
        <v>60</v>
      </c>
      <c r="F35" s="19"/>
      <c r="G35" s="19"/>
      <c r="H35" s="19"/>
      <c r="I35" s="19"/>
      <c r="J35" s="22">
        <v>30.0</v>
      </c>
      <c r="K35" s="22" t="s">
        <v>77</v>
      </c>
      <c r="L35" s="19"/>
      <c r="M35" s="22" t="s">
        <v>116</v>
      </c>
      <c r="N35" s="19"/>
      <c r="O35" s="19"/>
      <c r="P35" s="19"/>
      <c r="Q35" s="19"/>
      <c r="R35" s="22" t="s">
        <v>147</v>
      </c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5">
        <v>46279.606648877314</v>
      </c>
      <c r="B36" s="22" t="s">
        <v>85</v>
      </c>
      <c r="C36" s="22" t="s">
        <v>86</v>
      </c>
      <c r="D36" s="22">
        <v>2.7997874971E10</v>
      </c>
      <c r="E36" s="22" t="s">
        <v>60</v>
      </c>
      <c r="F36" s="19"/>
      <c r="G36" s="19"/>
      <c r="H36" s="19"/>
      <c r="I36" s="19"/>
      <c r="J36" s="22">
        <v>56.0</v>
      </c>
      <c r="K36" s="22" t="s">
        <v>83</v>
      </c>
      <c r="L36" s="19"/>
      <c r="M36" s="22" t="s">
        <v>116</v>
      </c>
      <c r="N36" s="19"/>
      <c r="O36" s="19"/>
      <c r="P36" s="19"/>
      <c r="Q36" s="19"/>
      <c r="R36" s="22" t="s">
        <v>148</v>
      </c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T998" s="16"/>
      <c r="U998" s="16"/>
      <c r="V998" s="16"/>
      <c r="W998" s="16"/>
      <c r="X998" s="16"/>
      <c r="Y998" s="16"/>
      <c r="Z998" s="16"/>
      <c r="AA998" s="16"/>
    </row>
  </sheetData>
  <hyperlinks>
    <hyperlink r:id="rId1" ref="H2"/>
    <hyperlink r:id="rId2" ref="H20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48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8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22</v>
      </c>
      <c r="B3" s="1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</v>
      </c>
      <c r="B4" s="1" t="s">
        <v>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38"/>
    <col customWidth="1" min="2" max="26" width="16.0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</v>
      </c>
      <c r="B2" s="1" t="s">
        <v>16</v>
      </c>
      <c r="C2" s="1" t="s">
        <v>17</v>
      </c>
      <c r="D2" s="1" t="b">
        <v>1</v>
      </c>
      <c r="E2" s="5">
        <v>46276.81727666667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19</v>
      </c>
      <c r="B3" s="1" t="s">
        <v>20</v>
      </c>
      <c r="C3" s="1" t="s">
        <v>17</v>
      </c>
      <c r="D3" s="1" t="b">
        <v>1</v>
      </c>
      <c r="E3" s="5">
        <v>46280.47274524305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 t="s">
        <v>23</v>
      </c>
      <c r="C4" s="1" t="s">
        <v>17</v>
      </c>
      <c r="D4" s="1" t="b">
        <v>1</v>
      </c>
      <c r="E4" s="5">
        <v>46279.68326148148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27</v>
      </c>
      <c r="B5" s="1" t="s">
        <v>28</v>
      </c>
      <c r="C5" s="1" t="s">
        <v>17</v>
      </c>
      <c r="D5" s="1" t="b">
        <v>1</v>
      </c>
      <c r="E5" s="5">
        <v>46279.87744172454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3" max="3" width="16.25"/>
    <col customWidth="1" min="4" max="4" width="16.88"/>
    <col customWidth="1" min="5" max="5" width="15.88"/>
    <col customWidth="1" min="6" max="6" width="21.5"/>
  </cols>
  <sheetData>
    <row r="1">
      <c r="A1" s="3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24.0</v>
      </c>
      <c r="B2" s="3" t="s">
        <v>18</v>
      </c>
      <c r="C2" s="7">
        <v>46695.625</v>
      </c>
      <c r="D2" s="9">
        <v>46276.802633935185</v>
      </c>
      <c r="E2" s="3" t="s">
        <v>15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>
        <v>23.0</v>
      </c>
      <c r="B3" s="3" t="s">
        <v>18</v>
      </c>
      <c r="C3" s="9">
        <v>2958352.625</v>
      </c>
      <c r="D3" s="9">
        <v>46274.67505104167</v>
      </c>
      <c r="E3" s="3" t="s">
        <v>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>
        <v>22.0</v>
      </c>
      <c r="B4" s="3" t="s">
        <v>29</v>
      </c>
      <c r="C4" s="4"/>
      <c r="D4" s="9">
        <v>46275.78867013889</v>
      </c>
      <c r="E4" s="3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>
        <v>20.0</v>
      </c>
      <c r="B5" s="3" t="s">
        <v>29</v>
      </c>
      <c r="C5" s="9">
        <v>47068.625</v>
      </c>
      <c r="D5" s="9">
        <v>46275.7929840625</v>
      </c>
      <c r="E5" s="3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2.0</v>
      </c>
      <c r="B6" s="3" t="s">
        <v>29</v>
      </c>
      <c r="C6" s="4"/>
      <c r="D6" s="9">
        <v>46279.53355274306</v>
      </c>
      <c r="E6" s="3" t="s">
        <v>19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v>12.0</v>
      </c>
      <c r="B7" s="3" t="s">
        <v>29</v>
      </c>
      <c r="C7" s="4"/>
      <c r="D7" s="9">
        <v>46279.53690813658</v>
      </c>
      <c r="E7" s="3" t="s">
        <v>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63"/>
    <col customWidth="1" min="4" max="4" width="26.38"/>
    <col customWidth="1" min="5" max="5" width="18.63"/>
    <col customWidth="1" min="6" max="6" width="33.38"/>
    <col customWidth="1" min="7" max="7" width="48.38"/>
    <col customWidth="1" min="8" max="26" width="18.63"/>
  </cols>
  <sheetData>
    <row r="1">
      <c r="A1" s="26" t="s">
        <v>149</v>
      </c>
      <c r="B1" s="26" t="s">
        <v>2</v>
      </c>
      <c r="C1" s="26" t="s">
        <v>4</v>
      </c>
      <c r="D1" s="26" t="s">
        <v>150</v>
      </c>
      <c r="E1" s="26" t="s">
        <v>6</v>
      </c>
      <c r="F1" s="26" t="s">
        <v>151</v>
      </c>
      <c r="G1" s="26" t="s">
        <v>152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v>46269.72794037037</v>
      </c>
      <c r="B2" s="26" t="s">
        <v>15</v>
      </c>
      <c r="C2" s="26" t="s">
        <v>17</v>
      </c>
      <c r="D2" s="26" t="s">
        <v>153</v>
      </c>
      <c r="E2" s="29">
        <v>24.0</v>
      </c>
      <c r="F2" s="26" t="s">
        <v>154</v>
      </c>
      <c r="G2" s="26" t="s">
        <v>155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>
        <v>46269.739613032405</v>
      </c>
      <c r="B3" s="26" t="s">
        <v>15</v>
      </c>
      <c r="C3" s="26" t="s">
        <v>17</v>
      </c>
      <c r="D3" s="26" t="s">
        <v>156</v>
      </c>
      <c r="E3" s="29">
        <v>24.0</v>
      </c>
      <c r="F3" s="26" t="s">
        <v>157</v>
      </c>
      <c r="G3" s="26" t="s">
        <v>158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>
        <v>46269.740106377314</v>
      </c>
      <c r="B4" s="26" t="s">
        <v>15</v>
      </c>
      <c r="C4" s="26" t="s">
        <v>17</v>
      </c>
      <c r="D4" s="26" t="s">
        <v>153</v>
      </c>
      <c r="E4" s="29">
        <v>24.0</v>
      </c>
      <c r="F4" s="26" t="s">
        <v>159</v>
      </c>
      <c r="G4" s="26" t="s">
        <v>160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>
        <v>46269.74037638889</v>
      </c>
      <c r="B5" s="26" t="s">
        <v>15</v>
      </c>
      <c r="C5" s="26" t="s">
        <v>17</v>
      </c>
      <c r="D5" s="26" t="s">
        <v>153</v>
      </c>
      <c r="E5" s="29">
        <v>24.0</v>
      </c>
      <c r="F5" s="26" t="s">
        <v>160</v>
      </c>
      <c r="G5" s="26" t="s">
        <v>155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>
        <v>46274.66483984954</v>
      </c>
      <c r="B6" s="26" t="s">
        <v>15</v>
      </c>
      <c r="C6" s="26" t="s">
        <v>17</v>
      </c>
      <c r="D6" s="26" t="s">
        <v>153</v>
      </c>
      <c r="E6" s="29">
        <v>24.0</v>
      </c>
      <c r="F6" s="26" t="s">
        <v>161</v>
      </c>
      <c r="G6" s="26" t="s">
        <v>162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>
        <v>46274.665252962965</v>
      </c>
      <c r="B7" s="26" t="s">
        <v>15</v>
      </c>
      <c r="C7" s="26" t="s">
        <v>17</v>
      </c>
      <c r="D7" s="26" t="s">
        <v>156</v>
      </c>
      <c r="E7" s="29">
        <v>24.0</v>
      </c>
      <c r="F7" s="26" t="s">
        <v>163</v>
      </c>
      <c r="G7" s="26" t="s">
        <v>164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>
        <v>46274.66557085648</v>
      </c>
      <c r="B8" s="26" t="s">
        <v>15</v>
      </c>
      <c r="C8" s="26" t="s">
        <v>17</v>
      </c>
      <c r="D8" s="26" t="s">
        <v>156</v>
      </c>
      <c r="E8" s="29">
        <v>24.0</v>
      </c>
      <c r="F8" s="26" t="s">
        <v>165</v>
      </c>
      <c r="G8" s="26" t="s">
        <v>166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>
        <v>46274.665826076394</v>
      </c>
      <c r="B9" s="26" t="s">
        <v>15</v>
      </c>
      <c r="C9" s="26" t="s">
        <v>17</v>
      </c>
      <c r="D9" s="26" t="s">
        <v>153</v>
      </c>
      <c r="E9" s="29">
        <v>24.0</v>
      </c>
      <c r="F9" s="26" t="s">
        <v>167</v>
      </c>
      <c r="G9" s="26" t="s">
        <v>168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>
        <v>46274.66900837963</v>
      </c>
      <c r="B10" s="26" t="s">
        <v>15</v>
      </c>
      <c r="C10" s="26" t="s">
        <v>17</v>
      </c>
      <c r="D10" s="26" t="s">
        <v>153</v>
      </c>
      <c r="E10" s="29">
        <v>24.0</v>
      </c>
      <c r="F10" s="26" t="s">
        <v>167</v>
      </c>
      <c r="G10" s="26" t="s">
        <v>168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v>46274.67506152778</v>
      </c>
      <c r="B11" s="26" t="s">
        <v>15</v>
      </c>
      <c r="C11" s="26" t="s">
        <v>17</v>
      </c>
      <c r="D11" s="26" t="s">
        <v>156</v>
      </c>
      <c r="E11" s="29">
        <v>23.0</v>
      </c>
      <c r="F11" s="26" t="s">
        <v>169</v>
      </c>
      <c r="G11" s="26" t="s">
        <v>170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>
        <v>46275.75077300926</v>
      </c>
      <c r="B12" s="26" t="s">
        <v>15</v>
      </c>
      <c r="C12" s="26" t="s">
        <v>17</v>
      </c>
      <c r="D12" s="26" t="s">
        <v>153</v>
      </c>
      <c r="E12" s="29">
        <v>22.0</v>
      </c>
      <c r="F12" s="26" t="s">
        <v>171</v>
      </c>
      <c r="G12" s="26" t="s">
        <v>172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>
        <v>46275.78867851852</v>
      </c>
      <c r="B13" s="26" t="s">
        <v>15</v>
      </c>
      <c r="C13" s="26" t="s">
        <v>17</v>
      </c>
      <c r="D13" s="26" t="s">
        <v>156</v>
      </c>
      <c r="E13" s="29">
        <v>22.0</v>
      </c>
      <c r="F13" s="26" t="s">
        <v>169</v>
      </c>
      <c r="G13" s="26" t="s">
        <v>173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>
        <v>46275.791821770836</v>
      </c>
      <c r="B14" s="26" t="s">
        <v>15</v>
      </c>
      <c r="C14" s="26" t="s">
        <v>17</v>
      </c>
      <c r="D14" s="26" t="s">
        <v>153</v>
      </c>
      <c r="E14" s="29">
        <v>20.0</v>
      </c>
      <c r="F14" s="26" t="s">
        <v>171</v>
      </c>
      <c r="G14" s="26" t="s">
        <v>174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v>46275.792643333334</v>
      </c>
      <c r="B15" s="26" t="s">
        <v>15</v>
      </c>
      <c r="C15" s="26" t="s">
        <v>17</v>
      </c>
      <c r="D15" s="26" t="s">
        <v>156</v>
      </c>
      <c r="E15" s="29">
        <v>20.0</v>
      </c>
      <c r="F15" s="26" t="s">
        <v>175</v>
      </c>
      <c r="G15" s="26" t="s">
        <v>176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>
        <v>46275.79298696759</v>
      </c>
      <c r="B16" s="26" t="s">
        <v>15</v>
      </c>
      <c r="C16" s="26" t="s">
        <v>17</v>
      </c>
      <c r="D16" s="26" t="s">
        <v>177</v>
      </c>
      <c r="E16" s="29">
        <v>20.0</v>
      </c>
      <c r="F16" s="26" t="s">
        <v>178</v>
      </c>
      <c r="G16" s="26" t="s">
        <v>179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>
        <v>46276.76510942129</v>
      </c>
      <c r="B17" s="26" t="s">
        <v>15</v>
      </c>
      <c r="C17" s="26" t="s">
        <v>17</v>
      </c>
      <c r="D17" s="26" t="s">
        <v>156</v>
      </c>
      <c r="E17" s="29">
        <v>24.0</v>
      </c>
      <c r="F17" s="26" t="s">
        <v>166</v>
      </c>
      <c r="G17" s="26" t="s">
        <v>180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>
        <v>46276.76632967593</v>
      </c>
      <c r="B18" s="26" t="s">
        <v>15</v>
      </c>
      <c r="C18" s="26" t="s">
        <v>17</v>
      </c>
      <c r="D18" s="26" t="s">
        <v>156</v>
      </c>
      <c r="E18" s="29">
        <v>24.0</v>
      </c>
      <c r="F18" s="26" t="s">
        <v>181</v>
      </c>
      <c r="G18" s="26" t="s">
        <v>180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>
        <v>46276.80263738426</v>
      </c>
      <c r="B19" s="26" t="s">
        <v>15</v>
      </c>
      <c r="C19" s="26" t="s">
        <v>17</v>
      </c>
      <c r="D19" s="26" t="s">
        <v>156</v>
      </c>
      <c r="E19" s="29">
        <v>24.0</v>
      </c>
      <c r="F19" s="26" t="s">
        <v>182</v>
      </c>
      <c r="G19" s="26" t="s">
        <v>183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v>46279.53356106482</v>
      </c>
      <c r="B20" s="26" t="s">
        <v>19</v>
      </c>
      <c r="C20" s="26" t="s">
        <v>17</v>
      </c>
      <c r="D20" s="26" t="s">
        <v>156</v>
      </c>
      <c r="E20" s="29">
        <v>2.0</v>
      </c>
      <c r="F20" s="26" t="s">
        <v>184</v>
      </c>
      <c r="G20" s="26" t="s">
        <v>185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>
        <v>46279.53691127315</v>
      </c>
      <c r="B21" s="26" t="s">
        <v>19</v>
      </c>
      <c r="C21" s="26" t="s">
        <v>17</v>
      </c>
      <c r="D21" s="26" t="s">
        <v>156</v>
      </c>
      <c r="E21" s="29">
        <v>12.0</v>
      </c>
      <c r="F21" s="26" t="s">
        <v>173</v>
      </c>
      <c r="G21" s="26" t="s">
        <v>186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63"/>
    <col customWidth="1" min="3" max="3" width="27.25"/>
    <col customWidth="1" min="4" max="4" width="17.88"/>
    <col customWidth="1" min="5" max="5" width="20.25"/>
    <col customWidth="1" min="6" max="6" width="53.63"/>
    <col customWidth="1" min="7" max="7" width="40.63"/>
    <col customWidth="1" min="8" max="8" width="14.25"/>
  </cols>
  <sheetData>
    <row r="1" ht="15.75" customHeight="1">
      <c r="A1" s="30" t="s">
        <v>30</v>
      </c>
      <c r="B1" s="30" t="s">
        <v>31</v>
      </c>
      <c r="C1" s="30" t="s">
        <v>32</v>
      </c>
      <c r="D1" s="30" t="s">
        <v>33</v>
      </c>
      <c r="E1" s="30" t="s">
        <v>34</v>
      </c>
      <c r="F1" s="30" t="s">
        <v>35</v>
      </c>
      <c r="G1" s="30" t="s">
        <v>36</v>
      </c>
      <c r="H1" s="30" t="s">
        <v>37</v>
      </c>
      <c r="I1" s="30" t="s">
        <v>38</v>
      </c>
      <c r="J1" s="30" t="s">
        <v>39</v>
      </c>
      <c r="K1" s="30" t="s">
        <v>40</v>
      </c>
      <c r="L1" s="30" t="s">
        <v>41</v>
      </c>
      <c r="M1" s="30" t="s">
        <v>42</v>
      </c>
      <c r="N1" s="30" t="s">
        <v>187</v>
      </c>
      <c r="O1" s="30" t="s">
        <v>43</v>
      </c>
      <c r="P1" s="30" t="s">
        <v>44</v>
      </c>
      <c r="Q1" s="30" t="s">
        <v>45</v>
      </c>
      <c r="R1" s="31" t="s">
        <v>46</v>
      </c>
      <c r="S1" s="31" t="s">
        <v>47</v>
      </c>
      <c r="T1" s="16"/>
      <c r="U1" s="16"/>
      <c r="V1" s="16"/>
      <c r="W1" s="16"/>
      <c r="X1" s="16"/>
      <c r="Y1" s="16"/>
      <c r="Z1" s="16"/>
    </row>
    <row r="2" ht="15.75" customHeight="1">
      <c r="A2" s="32">
        <f>IFERROR(__xludf.DUMMYFUNCTION("IFNA(FILTER('Respostas ao formulário 1'!A2:R996, (('Respostas ao formulário 1'!E2:E996=""Magistrada ou Magistrado"")+('Respostas ao formulário 1'!E2:E996=""Assessora ou Assessor"")+('Respostas ao formulário 1'!E2:E996=""Magistrado(a)"")+('Respostas ao for"&amp;"mulário 1'!E2:E996=""Assessor(a)""))&gt;0, 'Respostas ao formulário 1'!P2:P996=""""), """")"),46106.55592453704)</f>
        <v>46106.55592</v>
      </c>
      <c r="B2" s="33" t="str">
        <f>IFERROR(__xludf.DUMMYFUNCTION("""COMPUTED_VALUE"""),"rscunha@tjes.jus.br")</f>
        <v>rscunha@tjes.jus.br</v>
      </c>
      <c r="C2" s="33" t="str">
        <f>IFERROR(__xludf.DUMMYFUNCTION("""COMPUTED_VALUE"""),"Ramon Silva Almeida Cunha")</f>
        <v>Ramon Silva Almeida Cunha</v>
      </c>
      <c r="D2" s="33" t="str">
        <f>IFERROR(__xludf.DUMMYFUNCTION("""COMPUTED_VALUE"""),"2799816-1476")</f>
        <v>2799816-1476</v>
      </c>
      <c r="E2" s="33" t="str">
        <f>IFERROR(__xludf.DUMMYFUNCTION("""COMPUTED_VALUE"""),"Assessora ou Assessor")</f>
        <v>Assessora ou Assessor</v>
      </c>
      <c r="F2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2" s="33" t="str">
        <f>IFERROR(__xludf.DUMMYFUNCTION("""COMPUTED_VALUE"""),"5027139-30.2025.8.08.0012")</f>
        <v>5027139-30.2025.8.08.0012</v>
      </c>
      <c r="H2" s="33"/>
      <c r="I2" s="33" t="str">
        <f>IFERROR(__xludf.DUMMYFUNCTION("""COMPUTED_VALUE"""),"GUTEMBERG PIRES NOVAIS ")</f>
        <v>GUTEMBERG PIRES NOVAIS </v>
      </c>
      <c r="J2" s="33"/>
      <c r="K2" s="33"/>
      <c r="L2" s="33"/>
      <c r="M2" s="33" t="str">
        <f>IFERROR(__xludf.DUMMYFUNCTION("""COMPUTED_VALUE"""),"Cancelado")</f>
        <v>Cancelado</v>
      </c>
      <c r="N2" s="33" t="str">
        <f>IFERROR(__xludf.DUMMYFUNCTION("""COMPUTED_VALUE"""),"Sem indicação do número de minutas.")</f>
        <v>Sem indicação do número de minutas.</v>
      </c>
      <c r="O2" s="33" t="str">
        <f>IFERROR(__xludf.DUMMYFUNCTION("""COMPUTED_VALUE"""),"Juizado Especial da Fazenda Pública")</f>
        <v>Juizado Especial da Fazenda Pública</v>
      </c>
      <c r="P2" s="33"/>
      <c r="Q2" s="33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32">
        <f>IFERROR(__xludf.DUMMYFUNCTION("""COMPUTED_VALUE"""),46106.557365625005)</f>
        <v>46106.55737</v>
      </c>
      <c r="B3" s="33" t="str">
        <f>IFERROR(__xludf.DUMMYFUNCTION("""COMPUTED_VALUE"""),"rscunha@tjes.jus.br")</f>
        <v>rscunha@tjes.jus.br</v>
      </c>
      <c r="C3" s="33" t="str">
        <f>IFERROR(__xludf.DUMMYFUNCTION("""COMPUTED_VALUE"""),"RAMON SILVA ALMEIDA CUNHA")</f>
        <v>RAMON SILVA ALMEIDA CUNHA</v>
      </c>
      <c r="D3" s="33" t="str">
        <f>IFERROR(__xludf.DUMMYFUNCTION("""COMPUTED_VALUE"""),"2799816-1476")</f>
        <v>2799816-1476</v>
      </c>
      <c r="E3" s="33" t="str">
        <f>IFERROR(__xludf.DUMMYFUNCTION("""COMPUTED_VALUE"""),"Assessora ou Assessor")</f>
        <v>Assessora ou Assessor</v>
      </c>
      <c r="F3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3" s="33" t="str">
        <f>IFERROR(__xludf.DUMMYFUNCTION("""COMPUTED_VALUE"""),"5026746-08.2025.8.08.0012")</f>
        <v>5026746-08.2025.8.08.0012</v>
      </c>
      <c r="H3" s="33"/>
      <c r="I3" s="33" t="str">
        <f>IFERROR(__xludf.DUMMYFUNCTION("""COMPUTED_VALUE"""),"André Luis Q. Berezowski")</f>
        <v>André Luis Q. Berezowski</v>
      </c>
      <c r="J3" s="33"/>
      <c r="K3" s="33"/>
      <c r="L3" s="33"/>
      <c r="M3" s="33"/>
      <c r="N3" s="33"/>
      <c r="O3" s="33" t="str">
        <f>IFERROR(__xludf.DUMMYFUNCTION("""COMPUTED_VALUE"""),"Juizado Especial da Fazenda Pública")</f>
        <v>Juizado Especial da Fazenda Pública</v>
      </c>
      <c r="P3" s="33"/>
      <c r="Q3" s="33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32">
        <f>IFERROR(__xludf.DUMMYFUNCTION("""COMPUTED_VALUE"""),46106.55805467593)</f>
        <v>46106.55805</v>
      </c>
      <c r="B4" s="33" t="str">
        <f>IFERROR(__xludf.DUMMYFUNCTION("""COMPUTED_VALUE"""),"rscunha@tjes.jus.br")</f>
        <v>rscunha@tjes.jus.br</v>
      </c>
      <c r="C4" s="33" t="str">
        <f>IFERROR(__xludf.DUMMYFUNCTION("""COMPUTED_VALUE"""),"RAMON SILVA ALMEIDA CUNHA")</f>
        <v>RAMON SILVA ALMEIDA CUNHA</v>
      </c>
      <c r="D4" s="33" t="str">
        <f>IFERROR(__xludf.DUMMYFUNCTION("""COMPUTED_VALUE"""),"2799816-1476")</f>
        <v>2799816-1476</v>
      </c>
      <c r="E4" s="33" t="str">
        <f>IFERROR(__xludf.DUMMYFUNCTION("""COMPUTED_VALUE"""),"Assessora ou Assessor")</f>
        <v>Assessora ou Assessor</v>
      </c>
      <c r="F4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4" s="33" t="str">
        <f>IFERROR(__xludf.DUMMYFUNCTION("""COMPUTED_VALUE"""),"5001118-80.2026.8.08.0012")</f>
        <v>5001118-80.2026.8.08.0012</v>
      </c>
      <c r="H4" s="33"/>
      <c r="I4" s="33" t="str">
        <f>IFERROR(__xludf.DUMMYFUNCTION("""COMPUTED_VALUE"""),"Evelyn Avelino Kapitzky")</f>
        <v>Evelyn Avelino Kapitzky</v>
      </c>
      <c r="J4" s="33"/>
      <c r="K4" s="33"/>
      <c r="L4" s="33"/>
      <c r="M4" s="33"/>
      <c r="N4" s="33"/>
      <c r="O4" s="33" t="str">
        <f>IFERROR(__xludf.DUMMYFUNCTION("""COMPUTED_VALUE"""),"Juizado Especial da Fazenda Pública")</f>
        <v>Juizado Especial da Fazenda Pública</v>
      </c>
      <c r="P4" s="33"/>
      <c r="Q4" s="34">
        <f>IFERROR(__xludf.DUMMYFUNCTION("""COMPUTED_VALUE"""),46113.0)</f>
        <v>46113</v>
      </c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32">
        <f>IFERROR(__xludf.DUMMYFUNCTION("""COMPUTED_VALUE"""),46106.55907577546)</f>
        <v>46106.55908</v>
      </c>
      <c r="B5" s="33" t="str">
        <f>IFERROR(__xludf.DUMMYFUNCTION("""COMPUTED_VALUE"""),"rscunha@tjes.jus.br")</f>
        <v>rscunha@tjes.jus.br</v>
      </c>
      <c r="C5" s="33" t="str">
        <f>IFERROR(__xludf.DUMMYFUNCTION("""COMPUTED_VALUE"""),"RAMON SILVA ALMEIDA CUNHA")</f>
        <v>RAMON SILVA ALMEIDA CUNHA</v>
      </c>
      <c r="D5" s="33" t="str">
        <f>IFERROR(__xludf.DUMMYFUNCTION("""COMPUTED_VALUE"""),"279981614-76")</f>
        <v>279981614-76</v>
      </c>
      <c r="E5" s="33" t="str">
        <f>IFERROR(__xludf.DUMMYFUNCTION("""COMPUTED_VALUE"""),"Assessora ou Assessor")</f>
        <v>Assessora ou Assessor</v>
      </c>
      <c r="F5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5" s="33" t="str">
        <f>IFERROR(__xludf.DUMMYFUNCTION("""COMPUTED_VALUE"""),"5027200-85.2025.8.08.0012")</f>
        <v>5027200-85.2025.8.08.0012</v>
      </c>
      <c r="H5" s="33"/>
      <c r="I5" s="33" t="str">
        <f>IFERROR(__xludf.DUMMYFUNCTION("""COMPUTED_VALUE"""),"Samyra Alexia Correia Santana Lemos")</f>
        <v>Samyra Alexia Correia Santana Lemos</v>
      </c>
      <c r="J5" s="33"/>
      <c r="K5" s="33"/>
      <c r="L5" s="33"/>
      <c r="M5" s="33"/>
      <c r="N5" s="33"/>
      <c r="O5" s="33" t="str">
        <f>IFERROR(__xludf.DUMMYFUNCTION("""COMPUTED_VALUE"""),"Juizado Especial da Fazenda Pública")</f>
        <v>Juizado Especial da Fazenda Pública</v>
      </c>
      <c r="P5" s="33"/>
      <c r="Q5" s="34">
        <f>IFERROR(__xludf.DUMMYFUNCTION("""COMPUTED_VALUE"""),46113.0)</f>
        <v>46113</v>
      </c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32">
        <f>IFERROR(__xludf.DUMMYFUNCTION("""COMPUTED_VALUE"""),46106.55969229167)</f>
        <v>46106.55969</v>
      </c>
      <c r="B6" s="33" t="str">
        <f>IFERROR(__xludf.DUMMYFUNCTION("""COMPUTED_VALUE"""),"rscunha@tjes.jus.br")</f>
        <v>rscunha@tjes.jus.br</v>
      </c>
      <c r="C6" s="33" t="str">
        <f>IFERROR(__xludf.DUMMYFUNCTION("""COMPUTED_VALUE"""),"RAMON SILVA ALMEIDA CUNHA")</f>
        <v>RAMON SILVA ALMEIDA CUNHA</v>
      </c>
      <c r="D6" s="33" t="str">
        <f>IFERROR(__xludf.DUMMYFUNCTION("""COMPUTED_VALUE"""),"2799816-1476")</f>
        <v>2799816-1476</v>
      </c>
      <c r="E6" s="33" t="str">
        <f>IFERROR(__xludf.DUMMYFUNCTION("""COMPUTED_VALUE"""),"Assessora ou Assessor")</f>
        <v>Assessora ou Assessor</v>
      </c>
      <c r="F6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6" s="33"/>
      <c r="H6" s="33"/>
      <c r="I6" s="33" t="str">
        <f>IFERROR(__xludf.DUMMYFUNCTION("""COMPUTED_VALUE"""),"CARLOS BERMUDES ")</f>
        <v>CARLOS BERMUDES </v>
      </c>
      <c r="J6" s="33"/>
      <c r="K6" s="33"/>
      <c r="L6" s="33"/>
      <c r="M6" s="33"/>
      <c r="N6" s="33"/>
      <c r="O6" s="33" t="str">
        <f>IFERROR(__xludf.DUMMYFUNCTION("""COMPUTED_VALUE"""),"Juizado Especial da Fazenda Pública")</f>
        <v>Juizado Especial da Fazenda Pública</v>
      </c>
      <c r="P6" s="33"/>
      <c r="Q6" s="34">
        <f>IFERROR(__xludf.DUMMYFUNCTION("""COMPUTED_VALUE"""),46113.0)</f>
        <v>46113</v>
      </c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32">
        <f>IFERROR(__xludf.DUMMYFUNCTION("""COMPUTED_VALUE"""),46106.58187234953)</f>
        <v>46106.58187</v>
      </c>
      <c r="B7" s="33" t="str">
        <f>IFERROR(__xludf.DUMMYFUNCTION("""COMPUTED_VALUE"""),"rscunha@tjes.jus.br")</f>
        <v>rscunha@tjes.jus.br</v>
      </c>
      <c r="C7" s="33" t="str">
        <f>IFERROR(__xludf.DUMMYFUNCTION("""COMPUTED_VALUE"""),"RAMON SILVA ALMEIDA CUNHA")</f>
        <v>RAMON SILVA ALMEIDA CUNHA</v>
      </c>
      <c r="D7" s="33" t="str">
        <f>IFERROR(__xludf.DUMMYFUNCTION("""COMPUTED_VALUE"""),"2799816-1476")</f>
        <v>2799816-1476</v>
      </c>
      <c r="E7" s="33" t="str">
        <f>IFERROR(__xludf.DUMMYFUNCTION("""COMPUTED_VALUE"""),"Assessora ou Assessor")</f>
        <v>Assessora ou Assessor</v>
      </c>
      <c r="F7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7" s="33" t="str">
        <f>IFERROR(__xludf.DUMMYFUNCTION("""COMPUTED_VALUE"""),"    1. 5021724-66.2025.8.08.0012 (DETRAN)
    2. 5029629-25.2025.8.08.0012 (DETRAN)
    3. 5027236-30.2025.8.08.0012 (FGTS)
    4. 5032131-34.2025.8.08.0012 (FGTS)")</f>
        <v>    1. 5021724-66.2025.8.08.0012 (DETRAN)
    2. 5029629-25.2025.8.08.0012 (DETRAN)
    3. 5027236-30.2025.8.08.0012 (FGTS)
    4. 5032131-34.2025.8.08.0012 (FGTS)</v>
      </c>
      <c r="H7" s="33"/>
      <c r="I7" s="33"/>
      <c r="J7" s="33"/>
      <c r="K7" s="33"/>
      <c r="L7" s="33"/>
      <c r="M7" s="33"/>
      <c r="N7" s="33"/>
      <c r="O7" s="33" t="str">
        <f>IFERROR(__xludf.DUMMYFUNCTION("""COMPUTED_VALUE"""),"Juizado Especial da Fazenda Pública")</f>
        <v>Juizado Especial da Fazenda Pública</v>
      </c>
      <c r="P7" s="33"/>
      <c r="Q7" s="34">
        <f>IFERROR(__xludf.DUMMYFUNCTION("""COMPUTED_VALUE"""),46113.0)</f>
        <v>46113</v>
      </c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32">
        <f>IFERROR(__xludf.DUMMYFUNCTION("""COMPUTED_VALUE"""),46279.50030260417)</f>
        <v>46279.5003</v>
      </c>
      <c r="B8" s="33" t="str">
        <f>IFERROR(__xludf.DUMMYFUNCTION("""COMPUTED_VALUE"""),"saelesbon@tjes.jus.br")</f>
        <v>saelesbon@tjes.jus.br</v>
      </c>
      <c r="C8" s="33" t="str">
        <f>IFERROR(__xludf.DUMMYFUNCTION("""COMPUTED_VALUE"""),"Salomão Elesbon")</f>
        <v>Salomão Elesbon</v>
      </c>
      <c r="D8" s="33">
        <f>IFERROR(__xludf.DUMMYFUNCTION("""COMPUTED_VALUE"""),3.7215022E7)</f>
        <v>37215022</v>
      </c>
      <c r="E8" s="33" t="str">
        <f>IFERROR(__xludf.DUMMYFUNCTION("""COMPUTED_VALUE"""),"Magistrada ou Magistrado")</f>
        <v>Magistrada ou Magistrado</v>
      </c>
      <c r="F8" s="33" t="str">
        <f>IFERROR(__xludf.DUMMYFUNCTION("""COMPUTED_VALUE"""),"2a Turma Recursal - GAB 2")</f>
        <v>2a Turma Recursal - GAB 2</v>
      </c>
      <c r="G8" s="33"/>
      <c r="H8" s="35"/>
      <c r="I8" s="33"/>
      <c r="J8" s="33"/>
      <c r="K8" s="33"/>
      <c r="L8" s="33"/>
      <c r="M8" s="33" t="str">
        <f>IFERROR(__xludf.DUMMYFUNCTION("""COMPUTED_VALUE"""),"Pendente")</f>
        <v>Pendente</v>
      </c>
      <c r="N8" s="33"/>
      <c r="O8" s="33" t="str">
        <f>IFERROR(__xludf.DUMMYFUNCTION("""COMPUTED_VALUE"""),"Juizado Especial Cível, Juizado Especial da Fazenda Pública")</f>
        <v>Juizado Especial Cível, Juizado Especial da Fazenda Pública</v>
      </c>
      <c r="P8" s="33"/>
      <c r="Q8" s="34"/>
      <c r="R8" s="16" t="str">
        <f>IFERROR(__xludf.DUMMYFUNCTION("""COMPUTED_VALUE"""),"2_ABaOnufDVD83dvP2BPBzFk4iAOpwD59wYAaL0YNcNefqN8_bC7Q7y1Ku0GJaLIZQ71OlBC0")</f>
        <v>2_ABaOnufDVD83dvP2BPBzFk4iAOpwD59wYAaL0YNcNefqN8_bC7Q7y1Ku0GJaLIZQ71OlBC0</v>
      </c>
      <c r="S8" s="16"/>
      <c r="T8" s="16"/>
      <c r="U8" s="16"/>
      <c r="V8" s="16"/>
      <c r="W8" s="16"/>
      <c r="X8" s="16"/>
      <c r="Y8" s="16"/>
      <c r="Z8" s="16"/>
    </row>
    <row r="9" ht="15.75" customHeight="1">
      <c r="A9" s="32">
        <f>IFERROR(__xludf.DUMMYFUNCTION("""COMPUTED_VALUE"""),46279.50203853009)</f>
        <v>46279.50204</v>
      </c>
      <c r="B9" s="33" t="str">
        <f>IFERROR(__xludf.DUMMYFUNCTION("""COMPUTED_VALUE"""),"saelesbon@tjes.jus.br")</f>
        <v>saelesbon@tjes.jus.br</v>
      </c>
      <c r="C9" s="33" t="str">
        <f>IFERROR(__xludf.DUMMYFUNCTION("""COMPUTED_VALUE"""),"João Gabriel Cortes Bussular")</f>
        <v>João Gabriel Cortes Bussular</v>
      </c>
      <c r="D9" s="33">
        <f>IFERROR(__xludf.DUMMYFUNCTION("""COMPUTED_VALUE"""),2.737215022E9)</f>
        <v>2737215022</v>
      </c>
      <c r="E9" s="33" t="str">
        <f>IFERROR(__xludf.DUMMYFUNCTION("""COMPUTED_VALUE"""),"Assessora ou Assessor")</f>
        <v>Assessora ou Assessor</v>
      </c>
      <c r="F9" s="33" t="str">
        <f>IFERROR(__xludf.DUMMYFUNCTION("""COMPUTED_VALUE"""),"Colatina - 1º Juizado Especial Cível")</f>
        <v>Colatina - 1º Juizado Especial Cível</v>
      </c>
      <c r="G9" s="33" t="str">
        <f>IFERROR(__xludf.DUMMYFUNCTION("""COMPUTED_VALUE"""),"0003399-50.2011.8.08.0035
0004556-63.2008.8.08.0035
0005330-88.2011.8.08.0035
0006992-58.2009.8.08.0035
0008172-17.2006.8.08.0035
0010138-39.2011.8.08.0035
0013000-51.2009.8.08.0035
0014260-95.2011.8.08.0035
0016933-32.2009.8.08.0035
0020846-22.2009.8.08."&amp;"0035
0021185-10.2011.8.08.0035
0024033-38.2009.8.08.0035
0024594-33.2007.8.08.0035
0026589-42.2011.8.08.0035
0077026-24.2010.8.08.0035
0082504-13.2010.8.08.0035
0094184-92.2010.8.08.0035
0096295-49.2010.8.08.0035
0508061-78.2003.8.08.0035")</f>
        <v>0003399-50.2011.8.08.0035
0004556-63.2008.8.08.0035
0005330-88.2011.8.08.0035
0006992-58.2009.8.08.0035
0008172-17.2006.8.08.0035
0010138-39.2011.8.08.0035
0013000-51.2009.8.08.0035
0014260-95.2011.8.08.0035
0016933-32.2009.8.08.0035
0020846-22.2009.8.08.0035
0021185-10.2011.8.08.0035
0024033-38.2009.8.08.0035
0024594-33.2007.8.08.0035
0026589-42.2011.8.08.0035
0077026-24.2010.8.08.0035
0082504-13.2010.8.08.0035
0094184-92.2010.8.08.0035
0096295-49.2010.8.08.0035
0508061-78.2003.8.08.0035</v>
      </c>
      <c r="H9" s="33"/>
      <c r="I9" s="33"/>
      <c r="J9" s="33"/>
      <c r="K9" s="33"/>
      <c r="L9" s="33"/>
      <c r="M9" s="33" t="str">
        <f>IFERROR(__xludf.DUMMYFUNCTION("""COMPUTED_VALUE"""),"Pendente")</f>
        <v>Pendente</v>
      </c>
      <c r="N9" s="33"/>
      <c r="O9" s="33" t="str">
        <f>IFERROR(__xludf.DUMMYFUNCTION("""COMPUTED_VALUE"""),"Juizado Especial Cível")</f>
        <v>Juizado Especial Cível</v>
      </c>
      <c r="P9" s="33"/>
      <c r="Q9" s="34"/>
      <c r="R9" s="16" t="str">
        <f>IFERROR(__xludf.DUMMYFUNCTION("""COMPUTED_VALUE"""),"2_ABaOnueG3Hy8G-NdQzY76uJjc5cPDpJhW1z3cungPk36gByF_pvLTX93__BNWP190A2iDdI")</f>
        <v>2_ABaOnueG3Hy8G-NdQzY76uJjc5cPDpJhW1z3cungPk36gByF_pvLTX93__BNWP190A2iDdI</v>
      </c>
      <c r="S9" s="16"/>
      <c r="T9" s="16"/>
      <c r="U9" s="16"/>
      <c r="V9" s="16"/>
      <c r="W9" s="16"/>
      <c r="X9" s="16"/>
      <c r="Y9" s="16"/>
      <c r="Z9" s="16"/>
    </row>
    <row r="10" ht="15.75" customHeight="1">
      <c r="A10" s="32">
        <f>IFERROR(__xludf.DUMMYFUNCTION("""COMPUTED_VALUE"""),46279.51367605324)</f>
        <v>46279.51368</v>
      </c>
      <c r="B10" s="33" t="str">
        <f>IFERROR(__xludf.DUMMYFUNCTION("""COMPUTED_VALUE"""),"farosa@tjes.jus.br")</f>
        <v>farosa@tjes.jus.br</v>
      </c>
      <c r="C10" s="33" t="str">
        <f>IFERROR(__xludf.DUMMYFUNCTION("""COMPUTED_VALUE"""),"Fernando Rosa")</f>
        <v>Fernando Rosa</v>
      </c>
      <c r="D10" s="33">
        <f>IFERROR(__xludf.DUMMYFUNCTION("""COMPUTED_VALUE"""),2.7999897062E10)</f>
        <v>27999897062</v>
      </c>
      <c r="E10" s="33" t="str">
        <f>IFERROR(__xludf.DUMMYFUNCTION("""COMPUTED_VALUE"""),"Magistrada ou Magistrado")</f>
        <v>Magistrada ou Magistrado</v>
      </c>
      <c r="F10" s="33" t="str">
        <f>IFERROR(__xludf.DUMMYFUNCTION("""COMPUTED_VALUE"""),"Cariacica - Comarca da Capital - 1º Juizado Especial Criminal e Fazenda Pública")</f>
        <v>Cariacica - Comarca da Capital - 1º Juizado Especial Criminal e Fazenda Pública</v>
      </c>
      <c r="G10" s="33"/>
      <c r="H10" s="33" t="str">
        <f>IFERROR(__xludf.DUMMYFUNCTION("""COMPUTED_VALUE"""),"Redação sintética")</f>
        <v>Redação sintética</v>
      </c>
      <c r="I10" s="33" t="str">
        <f>IFERROR(__xludf.DUMMYFUNCTION("""COMPUTED_VALUE"""),"Gutemberg Pires")</f>
        <v>Gutemberg Pires</v>
      </c>
      <c r="J10" s="33"/>
      <c r="K10" s="33"/>
      <c r="L10" s="33"/>
      <c r="M10" s="33" t="str">
        <f>IFERROR(__xludf.DUMMYFUNCTION("""COMPUTED_VALUE"""),"Pendente")</f>
        <v>Pendente</v>
      </c>
      <c r="N10" s="33"/>
      <c r="O10" s="33" t="str">
        <f>IFERROR(__xludf.DUMMYFUNCTION("""COMPUTED_VALUE"""),"Juizado Especial da Fazenda Pública")</f>
        <v>Juizado Especial da Fazenda Pública</v>
      </c>
      <c r="P10" s="33"/>
      <c r="Q10" s="34"/>
      <c r="R10" s="16" t="str">
        <f>IFERROR(__xludf.DUMMYFUNCTION("""COMPUTED_VALUE"""),"2_ABaOnueaNTVEjig6PyTvWAeKT8AM_bjQR-ji7q00Q-hgh2MHru0PpEo8puGw_6gp2KuapnU")</f>
        <v>2_ABaOnueaNTVEjig6PyTvWAeKT8AM_bjQR-ji7q00Q-hgh2MHru0PpEo8puGw_6gp2KuapnU</v>
      </c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32">
        <f>IFERROR(__xludf.DUMMYFUNCTION("""COMPUTED_VALUE"""),46279.52961563657)</f>
        <v>46279.52962</v>
      </c>
      <c r="B11" s="33" t="str">
        <f>IFERROR(__xludf.DUMMYFUNCTION("""COMPUTED_VALUE"""),"jgbussular@tjes.jus.br")</f>
        <v>jgbussular@tjes.jus.br</v>
      </c>
      <c r="C11" s="33" t="str">
        <f>IFERROR(__xludf.DUMMYFUNCTION("""COMPUTED_VALUE"""),"João Gabriel Côrtes Bussular")</f>
        <v>João Gabriel Côrtes Bussular</v>
      </c>
      <c r="D11" s="33" t="str">
        <f>IFERROR(__xludf.DUMMYFUNCTION("""COMPUTED_VALUE"""),"27-99841-2187")</f>
        <v>27-99841-2187</v>
      </c>
      <c r="E11" s="33" t="str">
        <f>IFERROR(__xludf.DUMMYFUNCTION("""COMPUTED_VALUE"""),"Assessora ou Assessor")</f>
        <v>Assessora ou Assessor</v>
      </c>
      <c r="F11" s="33" t="str">
        <f>IFERROR(__xludf.DUMMYFUNCTION("""COMPUTED_VALUE"""),"Colatina - 3º Juizado Especial Cível")</f>
        <v>Colatina - 3º Juizado Especial Cível</v>
      </c>
      <c r="G11" s="33"/>
      <c r="H11" s="33"/>
      <c r="I11" s="33" t="str">
        <f>IFERROR(__xludf.DUMMYFUNCTION("""COMPUTED_VALUE"""),"Natália Lorenzuti")</f>
        <v>Natália Lorenzuti</v>
      </c>
      <c r="J11" s="33"/>
      <c r="K11" s="33"/>
      <c r="L11" s="33"/>
      <c r="M11" s="33" t="str">
        <f>IFERROR(__xludf.DUMMYFUNCTION("""COMPUTED_VALUE"""),"Pendente")</f>
        <v>Pendente</v>
      </c>
      <c r="N11" s="33"/>
      <c r="O11" s="33" t="str">
        <f>IFERROR(__xludf.DUMMYFUNCTION("""COMPUTED_VALUE"""),"Juizado Especial Cível")</f>
        <v>Juizado Especial Cível</v>
      </c>
      <c r="P11" s="33"/>
      <c r="Q11" s="34"/>
      <c r="R11" s="16" t="str">
        <f>IFERROR(__xludf.DUMMYFUNCTION("""COMPUTED_VALUE"""),"2_ABaOnufdk4ZmIun7t90Nu6ccpmVi8Bl48ucVu7HSuq8Bn4n39XBnnpToQjdnUEAb3_r8bK0")</f>
        <v>2_ABaOnufdk4ZmIun7t90Nu6ccpmVi8Bl48ucVu7HSuq8Bn4n39XBnnpToQjdnUEAb3_r8bK0</v>
      </c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>
        <f>IFERROR(__xludf.DUMMYFUNCTION("""COMPUTED_VALUE"""),46279.53654792824)</f>
        <v>46279.53655</v>
      </c>
      <c r="B12" s="16" t="str">
        <f>IFERROR(__xludf.DUMMYFUNCTION("""COMPUTED_VALUE"""),"saelesbon@tjes.jus.br")</f>
        <v>saelesbon@tjes.jus.br</v>
      </c>
      <c r="C12" s="16" t="str">
        <f>IFERROR(__xludf.DUMMYFUNCTION("""COMPUTED_VALUE"""),"Salomão Elesbon")</f>
        <v>Salomão Elesbon</v>
      </c>
      <c r="D12" s="16">
        <f>IFERROR(__xludf.DUMMYFUNCTION("""COMPUTED_VALUE"""),2.737215022E9)</f>
        <v>2737215022</v>
      </c>
      <c r="E12" s="16" t="str">
        <f>IFERROR(__xludf.DUMMYFUNCTION("""COMPUTED_VALUE"""),"Magistrada ou Magistrado")</f>
        <v>Magistrada ou Magistrado</v>
      </c>
      <c r="F12" s="16" t="str">
        <f>IFERROR(__xludf.DUMMYFUNCTION("""COMPUTED_VALUE"""),"Colatina - 3º Juizado Especial Cível")</f>
        <v>Colatina - 3º Juizado Especial Cível</v>
      </c>
      <c r="G12" s="16"/>
      <c r="H12" s="16"/>
      <c r="I12" s="16" t="str">
        <f>IFERROR(__xludf.DUMMYFUNCTION("""COMPUTED_VALUE"""),"Natália")</f>
        <v>Natália</v>
      </c>
      <c r="J12" s="16"/>
      <c r="K12" s="16"/>
      <c r="L12" s="16"/>
      <c r="M12" s="16" t="str">
        <f>IFERROR(__xludf.DUMMYFUNCTION("""COMPUTED_VALUE"""),"Pendente")</f>
        <v>Pendente</v>
      </c>
      <c r="N12" s="16"/>
      <c r="O12" s="16" t="str">
        <f>IFERROR(__xludf.DUMMYFUNCTION("""COMPUTED_VALUE"""),"Juizado Especial Cível")</f>
        <v>Juizado Especial Cível</v>
      </c>
      <c r="P12" s="16"/>
      <c r="Q12" s="16"/>
      <c r="R12" s="16" t="str">
        <f>IFERROR(__xludf.DUMMYFUNCTION("""COMPUTED_VALUE"""),"2_ABaOnuf6Rpk6B3MdlOzbZx034hAPyXXYq2AYKYN-PMbgU7G7xnjmabJwV1V2EvCxBprjHOA")</f>
        <v>2_ABaOnuf6Rpk6B3MdlOzbZx034hAPyXXYq2AYKYN-PMbgU7G7xnjmabJwV1V2EvCxBprjHOA</v>
      </c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26.5"/>
    <col customWidth="1" min="3" max="3" width="30.13"/>
    <col customWidth="1" min="4" max="4" width="22.0"/>
    <col customWidth="1" min="5" max="5" width="21.0"/>
    <col customWidth="1" min="6" max="12" width="37.63"/>
    <col customWidth="1" min="13" max="13" width="22.88"/>
    <col customWidth="1" min="14" max="14" width="27.13"/>
    <col customWidth="1" min="15" max="15" width="37.63"/>
    <col customWidth="1" min="16" max="16" width="33.75"/>
    <col customWidth="1" min="17" max="17" width="21.38"/>
    <col customWidth="1" min="18" max="18" width="37.63"/>
    <col customWidth="1" min="19" max="19" width="21.38"/>
  </cols>
  <sheetData>
    <row r="1" ht="15.75" customHeight="1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36" t="s">
        <v>47</v>
      </c>
      <c r="S1" s="36" t="s">
        <v>188</v>
      </c>
      <c r="T1" s="16"/>
      <c r="U1" s="16"/>
      <c r="V1" s="16"/>
      <c r="W1" s="16"/>
      <c r="X1" s="16"/>
      <c r="Y1" s="16"/>
      <c r="Z1" s="16"/>
    </row>
    <row r="2" ht="15.75" customHeight="1">
      <c r="A2" s="37">
        <f>IFERROR(__xludf.DUMMYFUNCTION("IFNA(FILTER('Respostas ao formulário 1'!A2:R996, (('Respostas ao formulário 1'!E2:E996=""Juíza Leiga ou Juiz Leigo"")+('Respostas ao formulário 1'!E2:E996=""Juiz Leigo"")+('Respostas ao formulário 1'!E2:E996=""Juíza Leiga""))&gt;0, 'Respostas ao formulário 1"&amp;"'!M2:M996&lt;&gt;""Concluído"", 'Respostas ao formulário 1'!M2:M996&lt;&gt;""Cancelado""), """")"),46106.510648090276)</f>
        <v>46106.51065</v>
      </c>
      <c r="B2" s="18" t="str">
        <f>IFERROR(__xludf.DUMMYFUNCTION("""COMPUTED_VALUE"""),"akcoutinho@tjes.jus.br")</f>
        <v>akcoutinho@tjes.jus.br</v>
      </c>
      <c r="C2" s="18" t="str">
        <f>IFERROR(__xludf.DUMMYFUNCTION("""COMPUTED_VALUE"""),"Ana Karolina Coutinho")</f>
        <v>Ana Karolina Coutinho</v>
      </c>
      <c r="D2" s="18">
        <f>IFERROR(__xludf.DUMMYFUNCTION("""COMPUTED_VALUE"""),2.7992557885E10)</f>
        <v>27992557885</v>
      </c>
      <c r="E2" s="18" t="str">
        <f>IFERROR(__xludf.DUMMYFUNCTION("""COMPUTED_VALUE"""),"Juíza Leiga ou Juiz Leigo")</f>
        <v>Juíza Leiga ou Juiz Leigo</v>
      </c>
      <c r="F2" s="18"/>
      <c r="G2" s="18"/>
      <c r="H2" s="18"/>
      <c r="I2" s="18"/>
      <c r="J2" s="18">
        <f>IFERROR(__xludf.DUMMYFUNCTION("""COMPUTED_VALUE"""),15.0)</f>
        <v>15</v>
      </c>
      <c r="K2" s="18" t="str">
        <f>IFERROR(__xludf.DUMMYFUNCTION("""COMPUTED_VALUE"""),"Juizado Especial da Fazenda Pública")</f>
        <v>Juizado Especial da Fazenda Pública</v>
      </c>
      <c r="L2" s="18"/>
      <c r="M2" s="18"/>
      <c r="N2" s="18"/>
      <c r="O2" s="18"/>
      <c r="P2" s="18"/>
      <c r="Q2" s="18"/>
      <c r="R2" s="19"/>
      <c r="S2" s="19"/>
      <c r="T2" s="16"/>
      <c r="U2" s="16"/>
      <c r="V2" s="16"/>
      <c r="W2" s="16"/>
      <c r="X2" s="16"/>
      <c r="Y2" s="16"/>
      <c r="Z2" s="16"/>
    </row>
    <row r="3" ht="15.75" customHeight="1">
      <c r="A3" s="37">
        <f>IFERROR(__xludf.DUMMYFUNCTION("""COMPUTED_VALUE"""),46106.516994108795)</f>
        <v>46106.51699</v>
      </c>
      <c r="B3" s="18" t="str">
        <f>IFERROR(__xludf.DUMMYFUNCTION("""COMPUTED_VALUE"""),"rodrigokfm@gmail.com")</f>
        <v>rodrigokfm@gmail.com</v>
      </c>
      <c r="C3" s="18" t="str">
        <f>IFERROR(__xludf.DUMMYFUNCTION("""COMPUTED_VALUE"""),"Rodrigo Klein Fornazelli Monteiro")</f>
        <v>Rodrigo Klein Fornazelli Monteiro</v>
      </c>
      <c r="D3" s="18" t="str">
        <f>IFERROR(__xludf.DUMMYFUNCTION("""COMPUTED_VALUE"""),"(27) 999016567")</f>
        <v>(27) 999016567</v>
      </c>
      <c r="E3" s="18" t="str">
        <f>IFERROR(__xludf.DUMMYFUNCTION("""COMPUTED_VALUE"""),"Juíza Leiga ou Juiz Leigo")</f>
        <v>Juíza Leiga ou Juiz Leigo</v>
      </c>
      <c r="F3" s="18"/>
      <c r="G3" s="18"/>
      <c r="H3" s="18"/>
      <c r="I3" s="18"/>
      <c r="J3" s="18">
        <f>IFERROR(__xludf.DUMMYFUNCTION("""COMPUTED_VALUE"""),20.0)</f>
        <v>20</v>
      </c>
      <c r="K3" s="18" t="str">
        <f>IFERROR(__xludf.DUMMYFUNCTION("""COMPUTED_VALUE"""),"Juizado Especial Cível, Juizado Especial da Fazenda Pública")</f>
        <v>Juizado Especial Cível, Juizado Especial da Fazenda Pública</v>
      </c>
      <c r="L3" s="18" t="str">
        <f>IFERROR(__xludf.DUMMYFUNCTION("""COMPUTED_VALUE"""),"Colaborando atualmente no 3º JEC de Colatina e na 4ª turma recursal - gabinete 1")</f>
        <v>Colaborando atualmente no 3º JEC de Colatina e na 4ª turma recursal - gabinete 1</v>
      </c>
      <c r="M3" s="18"/>
      <c r="N3" s="18"/>
      <c r="O3" s="18"/>
      <c r="P3" s="18"/>
      <c r="Q3" s="18"/>
      <c r="R3" s="19"/>
      <c r="S3" s="19"/>
      <c r="T3" s="16"/>
      <c r="U3" s="16"/>
      <c r="V3" s="16"/>
      <c r="W3" s="16"/>
      <c r="X3" s="16"/>
      <c r="Y3" s="16"/>
      <c r="Z3" s="16"/>
    </row>
    <row r="4" ht="15.75" customHeight="1">
      <c r="A4" s="37">
        <f>IFERROR(__xludf.DUMMYFUNCTION("""COMPUTED_VALUE"""),46106.54884957176)</f>
        <v>46106.54885</v>
      </c>
      <c r="B4" s="18" t="str">
        <f>IFERROR(__xludf.DUMMYFUNCTION("""COMPUTED_VALUE"""),"eakapitzky@tjes.jus.br")</f>
        <v>eakapitzky@tjes.jus.br</v>
      </c>
      <c r="C4" s="18" t="str">
        <f>IFERROR(__xludf.DUMMYFUNCTION("""COMPUTED_VALUE"""),"Evelyn Avelino Kapitzky")</f>
        <v>Evelyn Avelino Kapitzky</v>
      </c>
      <c r="D4" s="18">
        <f>IFERROR(__xludf.DUMMYFUNCTION("""COMPUTED_VALUE"""),2.7997874971E10)</f>
        <v>27997874971</v>
      </c>
      <c r="E4" s="18" t="str">
        <f>IFERROR(__xludf.DUMMYFUNCTION("""COMPUTED_VALUE"""),"Juíza Leiga ou Juiz Leigo")</f>
        <v>Juíza Leiga ou Juiz Leigo</v>
      </c>
      <c r="F4" s="18"/>
      <c r="G4" s="18"/>
      <c r="H4" s="18"/>
      <c r="I4" s="18"/>
      <c r="J4" s="18">
        <f>IFERROR(__xludf.DUMMYFUNCTION("""COMPUTED_VALUE"""),9.0)</f>
        <v>9</v>
      </c>
      <c r="K4" s="18" t="str">
        <f>IFERROR(__xludf.DUMMYFUNCTION("""COMPUTED_VALUE"""),"Juizado Especial Cível, Juizado Especial da Fazenda Pública")</f>
        <v>Juizado Especial Cível, Juizado Especial da Fazenda Pública</v>
      </c>
      <c r="L4" s="18"/>
      <c r="M4" s="18"/>
      <c r="N4" s="18"/>
      <c r="O4" s="18"/>
      <c r="P4" s="18"/>
      <c r="Q4" s="23">
        <f>IFERROR(__xludf.DUMMYFUNCTION("""COMPUTED_VALUE"""),46112.0)</f>
        <v>46112</v>
      </c>
      <c r="R4" s="19"/>
      <c r="S4" s="19"/>
      <c r="T4" s="16"/>
      <c r="U4" s="16"/>
      <c r="V4" s="16"/>
      <c r="W4" s="16"/>
      <c r="X4" s="16"/>
      <c r="Y4" s="16"/>
      <c r="Z4" s="16"/>
    </row>
    <row r="5" ht="15.75" customHeight="1">
      <c r="A5" s="37">
        <f>IFERROR(__xludf.DUMMYFUNCTION("""COMPUTED_VALUE"""),46106.555048055554)</f>
        <v>46106.55505</v>
      </c>
      <c r="B5" s="18" t="str">
        <f>IFERROR(__xludf.DUMMYFUNCTION("""COMPUTED_VALUE"""),"carlosbermudes.adv@gmail.com")</f>
        <v>carlosbermudes.adv@gmail.com</v>
      </c>
      <c r="C5" s="18" t="str">
        <f>IFERROR(__xludf.DUMMYFUNCTION("""COMPUTED_VALUE"""),"Carlos Bermudes Galvão ")</f>
        <v>Carlos Bermudes Galvão </v>
      </c>
      <c r="D5" s="18">
        <f>IFERROR(__xludf.DUMMYFUNCTION("""COMPUTED_VALUE"""),2.7997773097E10)</f>
        <v>27997773097</v>
      </c>
      <c r="E5" s="18" t="str">
        <f>IFERROR(__xludf.DUMMYFUNCTION("""COMPUTED_VALUE"""),"Juíza Leiga ou Juiz Leigo")</f>
        <v>Juíza Leiga ou Juiz Leigo</v>
      </c>
      <c r="F5" s="18"/>
      <c r="G5" s="18"/>
      <c r="H5" s="18"/>
      <c r="I5" s="18"/>
      <c r="J5" s="18">
        <f>IFERROR(__xludf.DUMMYFUNCTION("""COMPUTED_VALUE"""),70.0)</f>
        <v>70</v>
      </c>
      <c r="K5" s="18" t="str">
        <f>IFERROR(__xludf.DUMMYFUNCTION("""COMPUTED_VALUE"""),"Juizado Especial Criminal, Juizado Especial da Fazenda Pública")</f>
        <v>Juizado Especial Criminal, Juizado Especial da Fazenda Pública</v>
      </c>
      <c r="L5" s="18"/>
      <c r="M5" s="18"/>
      <c r="N5" s="18"/>
      <c r="O5" s="18"/>
      <c r="P5" s="18"/>
      <c r="Q5" s="23">
        <f>IFERROR(__xludf.DUMMYFUNCTION("""COMPUTED_VALUE"""),46113.0)</f>
        <v>46113</v>
      </c>
      <c r="R5" s="19"/>
      <c r="S5" s="19"/>
      <c r="T5" s="16"/>
      <c r="U5" s="16"/>
      <c r="V5" s="16"/>
      <c r="W5" s="16"/>
      <c r="X5" s="16"/>
      <c r="Y5" s="16"/>
      <c r="Z5" s="16"/>
    </row>
    <row r="6" ht="15.75" customHeight="1">
      <c r="A6" s="37">
        <f>IFERROR(__xludf.DUMMYFUNCTION("""COMPUTED_VALUE"""),46106.569885081015)</f>
        <v>46106.56989</v>
      </c>
      <c r="B6" s="18" t="str">
        <f>IFERROR(__xludf.DUMMYFUNCTION("""COMPUTED_VALUE"""),"gpnovais@tjes.jus.br")</f>
        <v>gpnovais@tjes.jus.br</v>
      </c>
      <c r="C6" s="18" t="str">
        <f>IFERROR(__xludf.DUMMYFUNCTION("""COMPUTED_VALUE"""),"Gutemberg Pires Novais")</f>
        <v>Gutemberg Pires Novais</v>
      </c>
      <c r="D6" s="18" t="str">
        <f>IFERROR(__xludf.DUMMYFUNCTION("""COMPUTED_VALUE"""),"27 - 996380996")</f>
        <v>27 - 996380996</v>
      </c>
      <c r="E6" s="18" t="str">
        <f>IFERROR(__xludf.DUMMYFUNCTION("""COMPUTED_VALUE"""),"Juíza Leiga ou Juiz Leigo")</f>
        <v>Juíza Leiga ou Juiz Leigo</v>
      </c>
      <c r="F6" s="18"/>
      <c r="G6" s="18"/>
      <c r="H6" s="18"/>
      <c r="I6" s="18"/>
      <c r="J6" s="18">
        <f>IFERROR(__xludf.DUMMYFUNCTION("""COMPUTED_VALUE"""),20.0)</f>
        <v>20</v>
      </c>
      <c r="K6" s="18" t="str">
        <f>IFERROR(__xludf.DUMMYFUNCTION("""COMPUTED_VALUE"""),"Juizado Especial da Fazenda Pública")</f>
        <v>Juizado Especial da Fazenda Pública</v>
      </c>
      <c r="L6" s="18"/>
      <c r="M6" s="18"/>
      <c r="N6" s="18"/>
      <c r="O6" s="18"/>
      <c r="P6" s="18"/>
      <c r="Q6" s="23">
        <f>IFERROR(__xludf.DUMMYFUNCTION("""COMPUTED_VALUE"""),46113.0)</f>
        <v>46113</v>
      </c>
      <c r="R6" s="19"/>
      <c r="S6" s="19"/>
      <c r="T6" s="16"/>
      <c r="U6" s="16"/>
      <c r="V6" s="16"/>
      <c r="W6" s="16"/>
      <c r="X6" s="16"/>
      <c r="Y6" s="16"/>
      <c r="Z6" s="16"/>
    </row>
    <row r="7" ht="15.75" customHeight="1">
      <c r="A7" s="37">
        <f>IFERROR(__xludf.DUMMYFUNCTION("""COMPUTED_VALUE"""),46112.841063078704)</f>
        <v>46112.84106</v>
      </c>
      <c r="B7" s="18" t="str">
        <f>IFERROR(__xludf.DUMMYFUNCTION("""COMPUTED_VALUE"""),"saelesbon@gmail.com")</f>
        <v>saelesbon@gmail.com</v>
      </c>
      <c r="C7" s="18" t="str">
        <f>IFERROR(__xludf.DUMMYFUNCTION("""COMPUTED_VALUE"""),"Eu mesmo - Teste")</f>
        <v>Eu mesmo - Teste</v>
      </c>
      <c r="D7" s="18">
        <f>IFERROR(__xludf.DUMMYFUNCTION("""COMPUTED_VALUE"""),2.7999829275E10)</f>
        <v>27999829275</v>
      </c>
      <c r="E7" s="18" t="str">
        <f>IFERROR(__xludf.DUMMYFUNCTION("""COMPUTED_VALUE"""),"Juíza Leiga ou Juiz Leigo")</f>
        <v>Juíza Leiga ou Juiz Leigo</v>
      </c>
      <c r="F7" s="18"/>
      <c r="G7" s="18"/>
      <c r="H7" s="18"/>
      <c r="I7" s="18"/>
      <c r="J7" s="18">
        <f>IFERROR(__xludf.DUMMYFUNCTION("""COMPUTED_VALUE"""),40.0)</f>
        <v>40</v>
      </c>
      <c r="K7" s="18" t="str">
        <f>IFERROR(__xludf.DUMMYFUNCTION("""COMPUTED_VALUE"""),"Juizado Especial Cível, Juizado Especial Criminal, Juizado Especial da Fazenda Pública")</f>
        <v>Juizado Especial Cível, Juizado Especial Criminal, Juizado Especial da Fazenda Pública</v>
      </c>
      <c r="L7" s="18"/>
      <c r="M7" s="18"/>
      <c r="N7" s="18"/>
      <c r="O7" s="18"/>
      <c r="P7" s="18"/>
      <c r="Q7" s="23">
        <f>IFERROR(__xludf.DUMMYFUNCTION("""COMPUTED_VALUE"""),46112.0)</f>
        <v>46112</v>
      </c>
      <c r="R7" s="19"/>
      <c r="S7" s="19"/>
      <c r="T7" s="16"/>
      <c r="U7" s="16"/>
      <c r="V7" s="16"/>
      <c r="W7" s="16"/>
      <c r="X7" s="16"/>
      <c r="Y7" s="16"/>
      <c r="Z7" s="16"/>
    </row>
    <row r="8" ht="15.75" customHeight="1">
      <c r="A8" s="38">
        <f>IFERROR(__xludf.DUMMYFUNCTION("""COMPUTED_VALUE"""),46279.49909582176)</f>
        <v>46279.4991</v>
      </c>
      <c r="B8" s="16" t="str">
        <f>IFERROR(__xludf.DUMMYFUNCTION("""COMPUTED_VALUE"""),"saelesbon@tjes.jus.br")</f>
        <v>saelesbon@tjes.jus.br</v>
      </c>
      <c r="C8" s="16" t="str">
        <f>IFERROR(__xludf.DUMMYFUNCTION("""COMPUTED_VALUE"""),"Salomão Elesbon")</f>
        <v>Salomão Elesbon</v>
      </c>
      <c r="D8" s="16">
        <f>IFERROR(__xludf.DUMMYFUNCTION("""COMPUTED_VALUE"""),2.7999829268E10)</f>
        <v>27999829268</v>
      </c>
      <c r="E8" s="16" t="str">
        <f>IFERROR(__xludf.DUMMYFUNCTION("""COMPUTED_VALUE"""),"Juíza Leiga ou Juiz Leigo")</f>
        <v>Juíza Leiga ou Juiz Leigo</v>
      </c>
      <c r="F8" s="16"/>
      <c r="G8" s="16"/>
      <c r="H8" s="16"/>
      <c r="I8" s="16"/>
      <c r="J8" s="16">
        <f>IFERROR(__xludf.DUMMYFUNCTION("""COMPUTED_VALUE"""),40.0)</f>
        <v>40</v>
      </c>
      <c r="K8" s="16" t="str">
        <f>IFERROR(__xludf.DUMMYFUNCTION("""COMPUTED_VALUE"""),"Juizado Especial Cível, Juizado Especial da Fazenda Pública")</f>
        <v>Juizado Especial Cível, Juizado Especial da Fazenda Pública</v>
      </c>
      <c r="L8" s="16"/>
      <c r="M8" s="16" t="str">
        <f>IFERROR(__xludf.DUMMYFUNCTION("""COMPUTED_VALUE"""),"Pendente")</f>
        <v>Pendente</v>
      </c>
      <c r="N8" s="16"/>
      <c r="O8" s="16"/>
      <c r="P8" s="16"/>
      <c r="Q8" s="16"/>
      <c r="R8" s="16" t="str">
        <f>IFERROR(__xludf.DUMMYFUNCTION("""COMPUTED_VALUE"""),"2_ABaOnucahdDT1uhLUGJT6wWoH-vzLrhfhTaiQ2M5S4AvwgQMJYWaho-_qtIP1xhWgohERbE")</f>
        <v>2_ABaOnucahdDT1uhLUGJT6wWoH-vzLrhfhTaiQ2M5S4AvwgQMJYWaho-_qtIP1xhWgohERbE</v>
      </c>
      <c r="S8" s="16"/>
      <c r="T8" s="16"/>
      <c r="U8" s="16"/>
      <c r="V8" s="16"/>
      <c r="W8" s="16"/>
      <c r="X8" s="16"/>
      <c r="Y8" s="16"/>
      <c r="Z8" s="16"/>
    </row>
    <row r="9" ht="15.75" customHeight="1">
      <c r="A9" s="16">
        <f>IFERROR(__xludf.DUMMYFUNCTION("""COMPUTED_VALUE"""),46279.51936662037)</f>
        <v>46279.51937</v>
      </c>
      <c r="B9" s="16" t="str">
        <f>IFERROR(__xludf.DUMMYFUNCTION("""COMPUTED_VALUE"""),"nlbastos@tjes.jus.br")</f>
        <v>nlbastos@tjes.jus.br</v>
      </c>
      <c r="C9" s="16" t="str">
        <f>IFERROR(__xludf.DUMMYFUNCTION("""COMPUTED_VALUE"""),"Natália Lorenzutti Pereira Pinto Bastos")</f>
        <v>Natália Lorenzutti Pereira Pinto Bastos</v>
      </c>
      <c r="D9" s="16">
        <f>IFERROR(__xludf.DUMMYFUNCTION("""COMPUTED_VALUE"""),2.7988986575E10)</f>
        <v>27988986575</v>
      </c>
      <c r="E9" s="16" t="str">
        <f>IFERROR(__xludf.DUMMYFUNCTION("""COMPUTED_VALUE"""),"Juíza Leiga ou Juiz Leigo")</f>
        <v>Juíza Leiga ou Juiz Leigo</v>
      </c>
      <c r="F9" s="16"/>
      <c r="G9" s="16"/>
      <c r="H9" s="16"/>
      <c r="I9" s="16"/>
      <c r="J9" s="16">
        <f>IFERROR(__xludf.DUMMYFUNCTION("""COMPUTED_VALUE"""),26.0)</f>
        <v>26</v>
      </c>
      <c r="K9" s="16" t="str">
        <f>IFERROR(__xludf.DUMMYFUNCTION("""COMPUTED_VALUE"""),"Juizado Especial Cível")</f>
        <v>Juizado Especial Cível</v>
      </c>
      <c r="L9" s="16"/>
      <c r="M9" s="16" t="str">
        <f>IFERROR(__xludf.DUMMYFUNCTION("""COMPUTED_VALUE"""),"Pendente")</f>
        <v>Pendente</v>
      </c>
      <c r="N9" s="16"/>
      <c r="O9" s="16"/>
      <c r="P9" s="16"/>
      <c r="Q9" s="16"/>
      <c r="R9" s="16" t="str">
        <f>IFERROR(__xludf.DUMMYFUNCTION("""COMPUTED_VALUE"""),"2_ABaOnucG0IZ_WIL1oJLwdzJiuELaQp99Cxv-WhdxAR_TULx5dredeCYIFaHJQQjjmepH6mY")</f>
        <v>2_ABaOnucG0IZ_WIL1oJLwdzJiuELaQp99Cxv-WhdxAR_TULx5dredeCYIFaHJQQjjmepH6mY</v>
      </c>
      <c r="S9" s="16"/>
      <c r="T9" s="16"/>
      <c r="U9" s="16"/>
      <c r="V9" s="16"/>
      <c r="W9" s="16"/>
      <c r="X9" s="16"/>
      <c r="Y9" s="16"/>
      <c r="Z9" s="16"/>
    </row>
    <row r="10" ht="15.75" customHeight="1">
      <c r="A10" s="16">
        <f>IFERROR(__xludf.DUMMYFUNCTION("""COMPUTED_VALUE"""),46279.54914994213)</f>
        <v>46279.54915</v>
      </c>
      <c r="B10" s="16" t="str">
        <f>IFERROR(__xludf.DUMMYFUNCTION("""COMPUTED_VALUE"""),"cbgalvao@tjes.jus.br")</f>
        <v>cbgalvao@tjes.jus.br</v>
      </c>
      <c r="C10" s="16" t="str">
        <f>IFERROR(__xludf.DUMMYFUNCTION("""COMPUTED_VALUE"""),"Carlos Bermudes Galvão")</f>
        <v>Carlos Bermudes Galvão</v>
      </c>
      <c r="D10" s="16">
        <f>IFERROR(__xludf.DUMMYFUNCTION("""COMPUTED_VALUE"""),2.7997773097E10)</f>
        <v>27997773097</v>
      </c>
      <c r="E10" s="16" t="str">
        <f>IFERROR(__xludf.DUMMYFUNCTION("""COMPUTED_VALUE"""),"Juíza Leiga ou Juiz Leigo")</f>
        <v>Juíza Leiga ou Juiz Leigo</v>
      </c>
      <c r="F10" s="16"/>
      <c r="G10" s="16"/>
      <c r="H10" s="16"/>
      <c r="I10" s="16"/>
      <c r="J10" s="16">
        <f>IFERROR(__xludf.DUMMYFUNCTION("""COMPUTED_VALUE"""),60.0)</f>
        <v>60</v>
      </c>
      <c r="K10" s="16" t="str">
        <f>IFERROR(__xludf.DUMMYFUNCTION("""COMPUTED_VALUE"""),"Juizado Especial da Fazenda Pública")</f>
        <v>Juizado Especial da Fazenda Pública</v>
      </c>
      <c r="L10" s="16"/>
      <c r="M10" s="16" t="str">
        <f>IFERROR(__xludf.DUMMYFUNCTION("""COMPUTED_VALUE"""),"Pendente")</f>
        <v>Pendente</v>
      </c>
      <c r="N10" s="16"/>
      <c r="O10" s="16"/>
      <c r="P10" s="16"/>
      <c r="Q10" s="16"/>
      <c r="R10" s="16" t="str">
        <f>IFERROR(__xludf.DUMMYFUNCTION("""COMPUTED_VALUE"""),"2_ABaOnufuQ8zykNQ6sZRS-vRnNHu-cFoYjFVU4PC9i22xB1yHYg7PEMK4syTK3K3Rmfv1L2Y")</f>
        <v>2_ABaOnufuQ8zykNQ6sZRS-vRnNHu-cFoYjFVU4PC9i22xB1yHYg7PEMK4syTK3K3Rmfv1L2Y</v>
      </c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6">
        <f>IFERROR(__xludf.DUMMYFUNCTION("""COMPUTED_VALUE"""),46279.55490533565)</f>
        <v>46279.55491</v>
      </c>
      <c r="B11" s="16" t="str">
        <f>IFERROR(__xludf.DUMMYFUNCTION("""COMPUTED_VALUE"""),"gpnovais@tjes.jus.br")</f>
        <v>gpnovais@tjes.jus.br</v>
      </c>
      <c r="C11" s="16" t="str">
        <f>IFERROR(__xludf.DUMMYFUNCTION("""COMPUTED_VALUE"""),"Gutemberg Pires Novais")</f>
        <v>Gutemberg Pires Novais</v>
      </c>
      <c r="D11" s="16">
        <f>IFERROR(__xludf.DUMMYFUNCTION("""COMPUTED_VALUE"""),2.7996380996E10)</f>
        <v>27996380996</v>
      </c>
      <c r="E11" s="16" t="str">
        <f>IFERROR(__xludf.DUMMYFUNCTION("""COMPUTED_VALUE"""),"Juíza Leiga ou Juiz Leigo")</f>
        <v>Juíza Leiga ou Juiz Leigo</v>
      </c>
      <c r="F11" s="16"/>
      <c r="G11" s="16"/>
      <c r="H11" s="16"/>
      <c r="I11" s="16"/>
      <c r="J11" s="16">
        <f>IFERROR(__xludf.DUMMYFUNCTION("""COMPUTED_VALUE"""),20.0)</f>
        <v>20</v>
      </c>
      <c r="K11" s="16" t="str">
        <f>IFERROR(__xludf.DUMMYFUNCTION("""COMPUTED_VALUE"""),"Juizado Especial da Fazenda Pública")</f>
        <v>Juizado Especial da Fazenda Pública</v>
      </c>
      <c r="L11" s="16"/>
      <c r="M11" s="16" t="str">
        <f>IFERROR(__xludf.DUMMYFUNCTION("""COMPUTED_VALUE"""),"Pendente")</f>
        <v>Pendente</v>
      </c>
      <c r="N11" s="16"/>
      <c r="O11" s="16"/>
      <c r="P11" s="16"/>
      <c r="Q11" s="16"/>
      <c r="R11" s="16" t="str">
        <f>IFERROR(__xludf.DUMMYFUNCTION("""COMPUTED_VALUE"""),"2_ABaOnufDMvTT1PaXHK4DaIdIUrv4IFr-HzWGHLEC1vFbUZbn0687xYloeb4n_j4SQGxyyXc")</f>
        <v>2_ABaOnufDMvTT1PaXHK4DaIdIUrv4IFr-HzWGHLEC1vFbUZbn0687xYloeb4n_j4SQGxyyXc</v>
      </c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>
        <f>IFERROR(__xludf.DUMMYFUNCTION("""COMPUTED_VALUE"""),46279.5605454051)</f>
        <v>46279.56055</v>
      </c>
      <c r="B12" s="16" t="str">
        <f>IFERROR(__xludf.DUMMYFUNCTION("""COMPUTED_VALUE"""),"akcoutinho@tjes.jus.br")</f>
        <v>akcoutinho@tjes.jus.br</v>
      </c>
      <c r="C12" s="16" t="str">
        <f>IFERROR(__xludf.DUMMYFUNCTION("""COMPUTED_VALUE"""),"Ana Karolina Espindula Pereira Coutinho")</f>
        <v>Ana Karolina Espindula Pereira Coutinho</v>
      </c>
      <c r="D12" s="16" t="str">
        <f>IFERROR(__xludf.DUMMYFUNCTION("""COMPUTED_VALUE"""),"27-992557885")</f>
        <v>27-992557885</v>
      </c>
      <c r="E12" s="16" t="str">
        <f>IFERROR(__xludf.DUMMYFUNCTION("""COMPUTED_VALUE"""),"Juíza Leiga ou Juiz Leigo")</f>
        <v>Juíza Leiga ou Juiz Leigo</v>
      </c>
      <c r="F12" s="16"/>
      <c r="G12" s="16"/>
      <c r="H12" s="16"/>
      <c r="I12" s="16"/>
      <c r="J12" s="16">
        <f>IFERROR(__xludf.DUMMYFUNCTION("""COMPUTED_VALUE"""),30.0)</f>
        <v>30</v>
      </c>
      <c r="K12" s="16" t="str">
        <f>IFERROR(__xludf.DUMMYFUNCTION("""COMPUTED_VALUE"""),"Juizado Especial da Fazenda Pública")</f>
        <v>Juizado Especial da Fazenda Pública</v>
      </c>
      <c r="L12" s="16"/>
      <c r="M12" s="16" t="str">
        <f>IFERROR(__xludf.DUMMYFUNCTION("""COMPUTED_VALUE"""),"Pendente")</f>
        <v>Pendente</v>
      </c>
      <c r="N12" s="16"/>
      <c r="O12" s="16"/>
      <c r="P12" s="16"/>
      <c r="Q12" s="16"/>
      <c r="R12" s="16" t="str">
        <f>IFERROR(__xludf.DUMMYFUNCTION("""COMPUTED_VALUE"""),"2_ABaOnuc3TA0XqGzc3R52jSsyZrgq8N6JiwnLhMq7DCSTIKTmj-sReiH-kFn5Ig6CkKR5V30")</f>
        <v>2_ABaOnuc3TA0XqGzc3R52jSsyZrgq8N6JiwnLhMq7DCSTIKTmj-sReiH-kFn5Ig6CkKR5V30</v>
      </c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>
        <f>IFERROR(__xludf.DUMMYFUNCTION("""COMPUTED_VALUE"""),46279.606648877314)</f>
        <v>46279.60665</v>
      </c>
      <c r="B13" s="16" t="str">
        <f>IFERROR(__xludf.DUMMYFUNCTION("""COMPUTED_VALUE"""),"eakapitzky@tjes.jus.br")</f>
        <v>eakapitzky@tjes.jus.br</v>
      </c>
      <c r="C13" s="16" t="str">
        <f>IFERROR(__xludf.DUMMYFUNCTION("""COMPUTED_VALUE"""),"Evelyn Avelino Kapitzky")</f>
        <v>Evelyn Avelino Kapitzky</v>
      </c>
      <c r="D13" s="16">
        <f>IFERROR(__xludf.DUMMYFUNCTION("""COMPUTED_VALUE"""),2.7997874971E10)</f>
        <v>27997874971</v>
      </c>
      <c r="E13" s="16" t="str">
        <f>IFERROR(__xludf.DUMMYFUNCTION("""COMPUTED_VALUE"""),"Juíza Leiga ou Juiz Leigo")</f>
        <v>Juíza Leiga ou Juiz Leigo</v>
      </c>
      <c r="F13" s="16"/>
      <c r="G13" s="16"/>
      <c r="H13" s="16"/>
      <c r="I13" s="16"/>
      <c r="J13" s="16">
        <f>IFERROR(__xludf.DUMMYFUNCTION("""COMPUTED_VALUE"""),56.0)</f>
        <v>56</v>
      </c>
      <c r="K13" s="16" t="str">
        <f>IFERROR(__xludf.DUMMYFUNCTION("""COMPUTED_VALUE"""),"Juizado Especial Cível, Juizado Especial da Fazenda Pública")</f>
        <v>Juizado Especial Cível, Juizado Especial da Fazenda Pública</v>
      </c>
      <c r="L13" s="16"/>
      <c r="M13" s="16" t="str">
        <f>IFERROR(__xludf.DUMMYFUNCTION("""COMPUTED_VALUE"""),"Pendente")</f>
        <v>Pendente</v>
      </c>
      <c r="N13" s="16"/>
      <c r="O13" s="16"/>
      <c r="P13" s="16"/>
      <c r="Q13" s="16"/>
      <c r="R13" s="16" t="str">
        <f>IFERROR(__xludf.DUMMYFUNCTION("""COMPUTED_VALUE"""),"2_ABaOnufmoOkFYGbT4-QqKBPoNVTmdwSxV_OtXja9X9szuSTyW2GzxNiX2b2vXXawZ-LuhaI")</f>
        <v>2_ABaOnufmoOkFYGbT4-QqKBPoNVTmdwSxV_OtXja9X9szuSTyW2GzxNiX2b2vXXawZ-LuhaI</v>
      </c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>
    <dataValidation type="custom" allowBlank="1" showDropDown="1" sqref="A2:A7">
      <formula1>OR(NOT(ISERROR(DATEVALUE(A2))), AND(ISNUMBER(A2), LEFT(CELL("format", A2))="D"))</formula1>
    </dataValidation>
  </dataValidations>
  <drawing r:id="rId1"/>
  <tableParts count="1">
    <tablePart r:id="rId3"/>
  </tableParts>
</worksheet>
</file>